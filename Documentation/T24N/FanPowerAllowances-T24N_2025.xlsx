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\0_CBECC\CBECC-Dev\Documentation\T24N\"/>
    </mc:Choice>
  </mc:AlternateContent>
  <xr:revisionPtr revIDLastSave="0" documentId="13_ncr:1_{FCFAAB5F-0DFB-46CE-8B13-A71901C357C3}" xr6:coauthVersionLast="47" xr6:coauthVersionMax="47" xr10:uidLastSave="{00000000-0000-0000-0000-000000000000}"/>
  <bookViews>
    <workbookView xWindow="9360" yWindow="17172" windowWidth="23256" windowHeight="13896" activeTab="1" xr2:uid="{08498A53-9666-4C2F-B88D-62F094E08F2D}"/>
  </bookViews>
  <sheets>
    <sheet name="Calcs" sheetId="1" r:id="rId1"/>
    <sheet name="For CSV" sheetId="2" r:id="rId2"/>
  </sheets>
  <definedNames>
    <definedName name="_xlnm._FilterDatabase" localSheetId="0" hidden="1">Calcs!$A$19:$Y$79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" i="1" l="1"/>
  <c r="M7" i="1"/>
  <c r="N7" i="1"/>
  <c r="O7" i="1"/>
  <c r="P7" i="1"/>
  <c r="Q7" i="1"/>
  <c r="R7" i="1"/>
  <c r="S7" i="1"/>
  <c r="T7" i="1"/>
  <c r="U7" i="1"/>
  <c r="V7" i="1"/>
  <c r="W7" i="1"/>
  <c r="L8" i="1"/>
  <c r="M8" i="1"/>
  <c r="N8" i="1"/>
  <c r="O8" i="1"/>
  <c r="P8" i="1"/>
  <c r="Q8" i="1"/>
  <c r="R8" i="1"/>
  <c r="S8" i="1"/>
  <c r="T8" i="1"/>
  <c r="U8" i="1"/>
  <c r="V8" i="1"/>
  <c r="W8" i="1"/>
  <c r="L9" i="1"/>
  <c r="M9" i="1"/>
  <c r="N9" i="1"/>
  <c r="O9" i="1"/>
  <c r="P9" i="1"/>
  <c r="Q9" i="1"/>
  <c r="R9" i="1"/>
  <c r="S9" i="1"/>
  <c r="T9" i="1"/>
  <c r="U9" i="1"/>
  <c r="V9" i="1"/>
  <c r="W9" i="1"/>
  <c r="L10" i="1"/>
  <c r="M10" i="1"/>
  <c r="N10" i="1"/>
  <c r="O10" i="1"/>
  <c r="P10" i="1"/>
  <c r="Q10" i="1"/>
  <c r="R10" i="1"/>
  <c r="S10" i="1"/>
  <c r="T10" i="1"/>
  <c r="U10" i="1"/>
  <c r="V10" i="1"/>
  <c r="W10" i="1"/>
  <c r="L11" i="1"/>
  <c r="M11" i="1"/>
  <c r="N11" i="1"/>
  <c r="O11" i="1"/>
  <c r="P11" i="1"/>
  <c r="Q11" i="1"/>
  <c r="R11" i="1"/>
  <c r="S11" i="1"/>
  <c r="T11" i="1"/>
  <c r="U11" i="1"/>
  <c r="V11" i="1"/>
  <c r="W11" i="1"/>
  <c r="L12" i="1"/>
  <c r="M12" i="1"/>
  <c r="N12" i="1"/>
  <c r="O12" i="1"/>
  <c r="P12" i="1"/>
  <c r="Q12" i="1"/>
  <c r="R12" i="1"/>
  <c r="S12" i="1"/>
  <c r="T12" i="1"/>
  <c r="U12" i="1"/>
  <c r="V12" i="1"/>
  <c r="W12" i="1"/>
  <c r="K12" i="1"/>
  <c r="K11" i="1"/>
  <c r="K10" i="1"/>
  <c r="K9" i="1"/>
  <c r="K8" i="1"/>
  <c r="K7" i="1"/>
  <c r="V15" i="1"/>
  <c r="Y62" i="1"/>
  <c r="Y63" i="1"/>
  <c r="Y68" i="1"/>
  <c r="Y26" i="1"/>
  <c r="Y35" i="1"/>
  <c r="Y40" i="1"/>
  <c r="Y20" i="1"/>
  <c r="Y21" i="1"/>
  <c r="Y22" i="1"/>
  <c r="Y23" i="1"/>
  <c r="Y24" i="1"/>
  <c r="Y25" i="1"/>
  <c r="Y27" i="1"/>
  <c r="Y28" i="1"/>
  <c r="Y29" i="1"/>
  <c r="Y30" i="1"/>
  <c r="Y31" i="1"/>
  <c r="Y32" i="1"/>
  <c r="Y33" i="1"/>
  <c r="Y34" i="1"/>
  <c r="Y36" i="1"/>
  <c r="Y37" i="1"/>
  <c r="Y38" i="1"/>
  <c r="Y39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4" i="1"/>
  <c r="Y65" i="1"/>
  <c r="Y66" i="1"/>
  <c r="Y67" i="1"/>
  <c r="Y69" i="1"/>
  <c r="Y70" i="1"/>
  <c r="Y71" i="1"/>
  <c r="Y72" i="1"/>
  <c r="Y73" i="1"/>
  <c r="Y74" i="1"/>
  <c r="Y75" i="1"/>
  <c r="Y19" i="1"/>
  <c r="T15" i="1"/>
  <c r="U15" i="1"/>
  <c r="W15" i="1"/>
  <c r="X15" i="1"/>
  <c r="T16" i="1"/>
  <c r="U16" i="1"/>
  <c r="V16" i="1"/>
  <c r="W16" i="1"/>
  <c r="X16" i="1"/>
  <c r="T17" i="1"/>
  <c r="U17" i="1"/>
  <c r="V17" i="1"/>
  <c r="W17" i="1"/>
  <c r="X17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20" i="1"/>
  <c r="Q15" i="1"/>
  <c r="R15" i="1"/>
  <c r="S15" i="1"/>
  <c r="Q16" i="1"/>
  <c r="R16" i="1"/>
  <c r="S16" i="1"/>
  <c r="Q17" i="1"/>
  <c r="R17" i="1"/>
  <c r="S17" i="1"/>
  <c r="N15" i="1"/>
  <c r="O15" i="1"/>
  <c r="P15" i="1"/>
  <c r="N16" i="1"/>
  <c r="O16" i="1"/>
  <c r="P16" i="1"/>
  <c r="N17" i="1"/>
  <c r="O17" i="1"/>
  <c r="P17" i="1"/>
  <c r="L15" i="1"/>
  <c r="M15" i="1"/>
  <c r="L16" i="1"/>
  <c r="M16" i="1"/>
  <c r="L17" i="1"/>
  <c r="M17" i="1"/>
  <c r="K17" i="1"/>
  <c r="K16" i="1"/>
  <c r="K15" i="1"/>
  <c r="K5" i="2" l="1"/>
  <c r="O6" i="2"/>
  <c r="N7" i="2"/>
  <c r="L8" i="2"/>
  <c r="O8" i="2"/>
  <c r="J9" i="2"/>
  <c r="K10" i="2"/>
  <c r="N10" i="2"/>
  <c r="G5" i="2"/>
  <c r="E6" i="2"/>
  <c r="G6" i="2"/>
  <c r="E7" i="2"/>
  <c r="G7" i="2"/>
  <c r="I7" i="2"/>
  <c r="G8" i="2"/>
  <c r="G9" i="2"/>
  <c r="E10" i="2"/>
  <c r="G10" i="2"/>
  <c r="I10" i="2"/>
  <c r="D9" i="2"/>
  <c r="D6" i="2"/>
  <c r="J6" i="2"/>
  <c r="J7" i="2"/>
  <c r="O7" i="2"/>
  <c r="K8" i="2"/>
  <c r="M9" i="2"/>
  <c r="D7" i="2"/>
  <c r="L6" i="2"/>
  <c r="P6" i="2"/>
  <c r="M7" i="2"/>
  <c r="P7" i="2"/>
  <c r="N8" i="2"/>
  <c r="P9" i="2"/>
  <c r="M10" i="2"/>
  <c r="H5" i="2"/>
  <c r="F7" i="2"/>
  <c r="I8" i="2"/>
  <c r="F10" i="2"/>
  <c r="D8" i="2"/>
  <c r="K6" i="2"/>
  <c r="M5" i="2"/>
  <c r="N5" i="2"/>
  <c r="L7" i="2"/>
  <c r="M8" i="2"/>
  <c r="L9" i="2"/>
  <c r="O9" i="2"/>
  <c r="L10" i="2"/>
  <c r="P10" i="2"/>
  <c r="F5" i="2"/>
  <c r="F6" i="2"/>
  <c r="H6" i="2"/>
  <c r="E8" i="2"/>
  <c r="E9" i="2"/>
  <c r="I9" i="2"/>
  <c r="H10" i="2"/>
  <c r="D10" i="2"/>
  <c r="D5" i="2"/>
  <c r="J5" i="2"/>
  <c r="K7" i="2"/>
  <c r="J8" i="2"/>
  <c r="P8" i="2"/>
  <c r="K9" i="2"/>
  <c r="N9" i="2"/>
  <c r="J10" i="2"/>
  <c r="O10" i="2"/>
  <c r="E5" i="2"/>
  <c r="I5" i="2"/>
  <c r="I6" i="2"/>
  <c r="H7" i="2"/>
  <c r="F8" i="2"/>
  <c r="H8" i="2"/>
  <c r="F9" i="2"/>
  <c r="H9" i="2"/>
  <c r="L5" i="2"/>
  <c r="M6" i="2"/>
  <c r="O5" i="2"/>
  <c r="P5" i="2"/>
  <c r="N6" i="2"/>
  <c r="E16" i="2"/>
  <c r="F16" i="2"/>
  <c r="G16" i="2"/>
  <c r="H16" i="2"/>
  <c r="I16" i="2"/>
  <c r="J16" i="2"/>
  <c r="K16" i="2"/>
  <c r="L16" i="2"/>
  <c r="M16" i="2"/>
  <c r="O16" i="2"/>
  <c r="P16" i="2"/>
  <c r="Q16" i="2"/>
  <c r="E17" i="2"/>
  <c r="F17" i="2"/>
  <c r="G17" i="2"/>
  <c r="H17" i="2"/>
  <c r="I17" i="2"/>
  <c r="K17" i="2"/>
  <c r="L17" i="2"/>
  <c r="M17" i="2"/>
  <c r="N17" i="2"/>
  <c r="O17" i="2"/>
  <c r="P17" i="2"/>
  <c r="Q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D17" i="2"/>
  <c r="N16" i="2"/>
  <c r="J17" i="2"/>
  <c r="D18" i="2"/>
  <c r="D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Jireh Peng</author>
  </authors>
  <commentList>
    <comment ref="V28" authorId="0" shapeId="0" xr:uid="{3060B9F6-F502-4C30-A89E-E367C32B4190}">
      <text>
        <r>
          <rPr>
            <b/>
            <sz val="9"/>
            <color indexed="81"/>
            <rFont val="Tahoma"/>
            <family val="2"/>
          </rPr>
          <t>Jireh Peng:</t>
        </r>
        <r>
          <rPr>
            <sz val="9"/>
            <color indexed="81"/>
            <rFont val="Tahoma"/>
            <family val="2"/>
          </rPr>
          <t xml:space="preserve">
Only one coil with changeover valve</t>
        </r>
      </text>
    </comment>
  </commentList>
</comments>
</file>

<file path=xl/sharedStrings.xml><?xml version="1.0" encoding="utf-8"?>
<sst xmlns="http://schemas.openxmlformats.org/spreadsheetml/2006/main" count="377" uniqueCount="159">
  <si>
    <r>
      <rPr>
        <u/>
        <sz val="8"/>
        <rFont val="Calibri"/>
        <family val="2"/>
      </rPr>
      <t>Multi-Zone VAV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Systems ≤5,000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cfm</t>
    </r>
  </si>
  <si>
    <r>
      <rPr>
        <u/>
        <sz val="8"/>
        <rFont val="Calibri"/>
        <family val="2"/>
      </rPr>
      <t>Multi-Zone VAV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Systems &gt;5,000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and ≤10,000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cfm</t>
    </r>
  </si>
  <si>
    <r>
      <rPr>
        <u/>
        <sz val="8"/>
        <rFont val="Calibri"/>
        <family val="2"/>
      </rPr>
      <t>Multi-Zone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 xml:space="preserve">VAV Systems
</t>
    </r>
    <r>
      <rPr>
        <u/>
        <sz val="8"/>
        <rFont val="Calibri"/>
        <family val="2"/>
      </rPr>
      <t>&gt;10,000 cfm</t>
    </r>
  </si>
  <si>
    <r>
      <rPr>
        <u/>
        <sz val="8"/>
        <rFont val="Calibri"/>
        <family val="2"/>
      </rPr>
      <t>All Other Fan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Systems ≤5,000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cfm</t>
    </r>
  </si>
  <si>
    <r>
      <rPr>
        <u/>
        <sz val="8"/>
        <rFont val="Calibri"/>
        <family val="2"/>
      </rPr>
      <t>All Other Fan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Systems &gt;5,000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and ≤10,000 cfm</t>
    </r>
  </si>
  <si>
    <r>
      <rPr>
        <u/>
        <sz val="8"/>
        <rFont val="Calibri"/>
        <family val="2"/>
      </rPr>
      <t>All Other Fan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Systems &gt;10,000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cfm</t>
    </r>
  </si>
  <si>
    <r>
      <rPr>
        <u/>
        <sz val="8"/>
        <rFont val="Calibri"/>
        <family val="2"/>
      </rPr>
      <t>Supply System Base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Allowance for AHU Serving</t>
    </r>
    <r>
      <rPr>
        <sz val="8"/>
        <rFont val="Calibri"/>
        <family val="2"/>
      </rPr>
      <t xml:space="preserve"> Spaces &lt; 6 Floors Away.</t>
    </r>
  </si>
  <si>
    <r>
      <rPr>
        <u/>
        <sz val="8"/>
        <rFont val="Calibri"/>
        <family val="2"/>
      </rPr>
      <t xml:space="preserve">Supply System Base
</t>
    </r>
    <r>
      <rPr>
        <u/>
        <sz val="8"/>
        <rFont val="Calibri"/>
        <family val="2"/>
      </rPr>
      <t>Allowance for AHU Serving</t>
    </r>
    <r>
      <rPr>
        <sz val="8"/>
        <rFont val="Calibri"/>
        <family val="2"/>
      </rPr>
      <t xml:space="preserve"> Spaces &gt; 6 Floors Away</t>
    </r>
  </si>
  <si>
    <r>
      <rPr>
        <u/>
        <sz val="8"/>
        <rFont val="Calibri"/>
        <family val="2"/>
      </rPr>
      <t xml:space="preserve">MERV 13 to MERV 16 Filter
</t>
    </r>
    <r>
      <rPr>
        <u/>
        <sz val="8"/>
        <rFont val="Calibri"/>
        <family val="2"/>
      </rPr>
      <t>Upstream of Therma</t>
    </r>
    <r>
      <rPr>
        <sz val="8"/>
        <rFont val="Calibri"/>
        <family val="2"/>
      </rPr>
      <t xml:space="preserve">l </t>
    </r>
    <r>
      <rPr>
        <u/>
        <sz val="8"/>
        <rFont val="Calibri"/>
        <family val="2"/>
      </rPr>
      <t>Conditioning Equipment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(two times the clean filter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pressure drop</t>
    </r>
    <r>
      <rPr>
        <strike/>
        <sz val="8"/>
        <rFont val="Calibri"/>
        <family val="2"/>
      </rPr>
      <t>mid-life)</t>
    </r>
    <r>
      <rPr>
        <strike/>
        <vertAlign val="superscript"/>
        <sz val="5"/>
        <rFont val="Calibri"/>
        <family val="2"/>
      </rPr>
      <t>2</t>
    </r>
  </si>
  <si>
    <r>
      <rPr>
        <u/>
        <sz val="8"/>
        <rFont val="Calibri"/>
        <family val="2"/>
      </rPr>
      <t>MERV 13 to MERV 16 Fina</t>
    </r>
    <r>
      <rPr>
        <sz val="8"/>
        <rFont val="Calibri"/>
        <family val="2"/>
      </rPr>
      <t xml:space="preserve">l </t>
    </r>
    <r>
      <rPr>
        <u/>
        <sz val="8"/>
        <rFont val="Calibri"/>
        <family val="2"/>
      </rPr>
      <t>Filter Downstream of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Thermal Conditioning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Equipment. (two times the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clean filter pressure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drop</t>
    </r>
    <r>
      <rPr>
        <strike/>
        <sz val="8"/>
        <rFont val="Calibri"/>
        <family val="2"/>
      </rPr>
      <t>mid-life) </t>
    </r>
    <r>
      <rPr>
        <strike/>
        <vertAlign val="superscript"/>
        <sz val="5"/>
        <rFont val="Calibri"/>
        <family val="2"/>
      </rPr>
      <t>2</t>
    </r>
  </si>
  <si>
    <r>
      <rPr>
        <u/>
        <sz val="8"/>
        <rFont val="Calibri"/>
        <family val="2"/>
      </rPr>
      <t>Filtration Allowance for &gt;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Merv 16 or HEPA Filter (two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times the clean filter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pressure drop</t>
    </r>
    <r>
      <rPr>
        <strike/>
        <sz val="8"/>
        <rFont val="Calibri"/>
        <family val="2"/>
      </rPr>
      <t>mid-life) </t>
    </r>
    <r>
      <rPr>
        <strike/>
        <vertAlign val="superscript"/>
        <sz val="5"/>
        <rFont val="Calibri"/>
        <family val="2"/>
      </rPr>
      <t>2</t>
    </r>
  </si>
  <si>
    <r>
      <rPr>
        <u/>
        <sz val="8"/>
        <rFont val="Calibri"/>
        <family val="2"/>
      </rPr>
      <t>Central Hydronic Heating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Coil Allowance</t>
    </r>
  </si>
  <si>
    <r>
      <rPr>
        <u/>
        <sz val="8"/>
        <rFont val="Calibri"/>
        <family val="2"/>
      </rPr>
      <t>Electric Heat Allowance</t>
    </r>
  </si>
  <si>
    <r>
      <rPr>
        <u/>
        <sz val="8"/>
        <rFont val="Calibri"/>
        <family val="2"/>
      </rPr>
      <t>Gas Heat Allowance</t>
    </r>
  </si>
  <si>
    <r>
      <rPr>
        <u/>
        <sz val="8"/>
        <rFont val="Calibri"/>
        <family val="2"/>
      </rPr>
      <t>Hydronic/DX Cooling Coil, or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Heat Pump Coil (wet)</t>
    </r>
    <r>
      <rPr>
        <sz val="8"/>
        <rFont val="Calibri"/>
        <family val="2"/>
      </rPr>
      <t xml:space="preserve"> Allowance</t>
    </r>
  </si>
  <si>
    <r>
      <rPr>
        <u/>
        <sz val="8"/>
        <rFont val="Calibri"/>
        <family val="2"/>
      </rPr>
      <t xml:space="preserve">Solid or Liquid Desiccant
</t>
    </r>
    <r>
      <rPr>
        <u/>
        <sz val="8"/>
        <rFont val="Calibri"/>
        <family val="2"/>
      </rPr>
      <t>System Allowance</t>
    </r>
  </si>
  <si>
    <r>
      <rPr>
        <u/>
        <sz val="8"/>
        <rFont val="Calibri"/>
        <family val="2"/>
      </rPr>
      <t>Reheat Coil for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Dehumidification Allowance</t>
    </r>
  </si>
  <si>
    <r>
      <rPr>
        <u/>
        <sz val="8"/>
        <rFont val="Calibri"/>
        <family val="2"/>
      </rPr>
      <t>Allowance for evaporative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humidifier/cooler in series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with a cooling coil. Value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shown is allowed watts/cfm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per 1.0 in. wg.  Determine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pressure loss (in. wg) at 400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fpm or maximum velocity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allowed by the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manufacturer, whichever is</t>
    </r>
    <r>
      <rPr>
        <sz val="8"/>
        <rFont val="Calibri"/>
        <family val="2"/>
      </rPr>
      <t xml:space="preserve"> less. </t>
    </r>
    <r>
      <rPr>
        <i/>
        <sz val="8"/>
        <rFont val="Calibri"/>
        <family val="2"/>
      </rPr>
      <t>[Calculation required, see note 4]</t>
    </r>
  </si>
  <si>
    <r>
      <rPr>
        <u/>
        <sz val="8"/>
        <rFont val="Calibri"/>
        <family val="2"/>
      </rPr>
      <t xml:space="preserve">Allowance for 100% outdoor
</t>
    </r>
    <r>
      <rPr>
        <u/>
        <sz val="8"/>
        <rFont val="Calibri"/>
        <family val="2"/>
      </rPr>
      <t>air system meeting the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requirements of Note 5.</t>
    </r>
  </si>
  <si>
    <r>
      <rPr>
        <u/>
        <sz val="8"/>
        <rFont val="Calibri"/>
        <family val="2"/>
      </rPr>
      <t xml:space="preserve">Allowance for gas phase filtration
</t>
    </r>
    <r>
      <rPr>
        <u/>
        <sz val="8"/>
        <rFont val="Calibri"/>
        <family val="2"/>
      </rPr>
      <t>required by code or accredited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standard. Value shown is allowed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w/cfm per 1.0 in. wg air pressure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drop. </t>
    </r>
    <r>
      <rPr>
        <i/>
        <u/>
        <sz val="8"/>
        <rFont val="Calibri"/>
        <family val="2"/>
      </rPr>
      <t>[Calculation required, see</t>
    </r>
    <r>
      <rPr>
        <i/>
        <sz val="8"/>
        <rFont val="Calibri"/>
        <family val="2"/>
      </rPr>
      <t xml:space="preserve"> note 4]</t>
    </r>
  </si>
  <si>
    <r>
      <rPr>
        <u/>
        <sz val="8"/>
        <rFont val="Calibri"/>
        <family val="2"/>
      </rPr>
      <t>Economizer Return Damper</t>
    </r>
  </si>
  <si>
    <r>
      <rPr>
        <u/>
        <sz val="8"/>
        <rFont val="Calibri"/>
        <family val="2"/>
      </rPr>
      <t>Air Blender Allowance</t>
    </r>
  </si>
  <si>
    <r>
      <rPr>
        <u/>
        <sz val="8"/>
        <rFont val="Calibri"/>
        <family val="2"/>
      </rPr>
      <t>Allowance for sound attenuation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section [fans serving spaces with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design background noise goals</t>
    </r>
    <r>
      <rPr>
        <sz val="8"/>
        <rFont val="Calibri"/>
        <family val="2"/>
      </rPr>
      <t xml:space="preserve"> below NC35].</t>
    </r>
  </si>
  <si>
    <r>
      <rPr>
        <u/>
        <sz val="8"/>
        <rFont val="Calibri"/>
        <family val="2"/>
      </rPr>
      <t xml:space="preserve">Deduction for systems that feed a
</t>
    </r>
    <r>
      <rPr>
        <u/>
        <sz val="8"/>
        <rFont val="Calibri"/>
        <family val="2"/>
      </rPr>
      <t>terminal unit with a fan with</t>
    </r>
    <r>
      <rPr>
        <sz val="8"/>
        <rFont val="Calibri"/>
        <family val="2"/>
      </rPr>
      <t xml:space="preserve"> electrical input power &lt; 1kW.</t>
    </r>
  </si>
  <si>
    <r>
      <rPr>
        <u/>
        <sz val="8"/>
        <rFont val="Calibri"/>
        <family val="2"/>
      </rPr>
      <t xml:space="preserve">Low-turndown single-zone VAV fan
</t>
    </r>
    <r>
      <rPr>
        <u/>
        <sz val="8"/>
        <rFont val="Calibri"/>
        <family val="2"/>
      </rPr>
      <t>systems meeting the requirements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in note 7.</t>
    </r>
  </si>
  <si>
    <r>
      <rPr>
        <u/>
        <sz val="8"/>
        <rFont val="Calibri"/>
        <family val="2"/>
      </rPr>
      <t>1. See FAN SYSTEM, MULTI-ZONE VARIABLE AIR VOLUME (VAV)  in definition a Multi-Zone VAV System</t>
    </r>
    <r>
      <rPr>
        <sz val="8"/>
        <rFont val="Calibri"/>
        <family val="2"/>
      </rPr>
      <t>.</t>
    </r>
  </si>
  <si>
    <r>
      <rPr>
        <u/>
        <sz val="8"/>
        <rFont val="Calibri"/>
        <family val="2"/>
      </rPr>
      <t>4. Power allowance requires further calculation by multiplying the actual in. wg. of the device/ component by the watts/ cfm in Table 170.2-B</t>
    </r>
    <r>
      <rPr>
        <sz val="8"/>
        <rFont val="Calibri"/>
        <family val="2"/>
      </rPr>
      <t>.</t>
    </r>
  </si>
  <si>
    <r>
      <rPr>
        <u/>
        <sz val="8"/>
        <rFont val="Calibri"/>
        <family val="2"/>
      </rPr>
      <t>5. The 100% outdoor air system must serve 3 or more HVAC zones and airflow during non-economizer operating periods must not exceed 135% of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minimum requirements in Section 120.1(c)(3).</t>
    </r>
  </si>
  <si>
    <t xml:space="preserve">6. Energy Recovery Ratio (ERR) calculated per ANSI/ASHRAE 84-2020. </t>
  </si>
  <si>
    <t xml:space="preserve">7. A low-turndown single-zone VAV fan system must be capable of and configured to reduce airflow to 50 percent of design airflow and use no more than </t>
  </si>
  <si>
    <t xml:space="preserve">30 percent of the design wattage at that airflow. No more than 10 percent of the design load served by the equipment shall have fixed loads. </t>
  </si>
  <si>
    <r>
      <rPr>
        <u/>
        <sz val="8"/>
        <rFont val="Calibri"/>
        <family val="2"/>
      </rPr>
      <t>Multi-Zone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 xml:space="preserve">VAV Systems
</t>
    </r>
    <r>
      <rPr>
        <sz val="8"/>
        <rFont val="Calibri"/>
        <family val="2"/>
      </rPr>
      <t>≤5,000 cfm</t>
    </r>
    <r>
      <rPr>
        <vertAlign val="superscript"/>
        <sz val="5"/>
        <rFont val="Calibri"/>
        <family val="2"/>
      </rPr>
      <t>1</t>
    </r>
  </si>
  <si>
    <r>
      <rPr>
        <u/>
        <sz val="8"/>
        <rFont val="Calibri"/>
        <family val="2"/>
      </rPr>
      <t>Multi-Zone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 xml:space="preserve">VAV Systems
</t>
    </r>
    <r>
      <rPr>
        <u/>
        <sz val="8"/>
        <rFont val="Calibri"/>
        <family val="2"/>
      </rPr>
      <t xml:space="preserve">&gt;5,000 and
</t>
    </r>
    <r>
      <rPr>
        <sz val="8"/>
        <rFont val="Calibri"/>
        <family val="2"/>
      </rPr>
      <t>≤10,000 cfm</t>
    </r>
    <r>
      <rPr>
        <vertAlign val="superscript"/>
        <sz val="5"/>
        <rFont val="Calibri"/>
        <family val="2"/>
      </rPr>
      <t>1</t>
    </r>
  </si>
  <si>
    <r>
      <rPr>
        <u/>
        <sz val="8"/>
        <rFont val="Calibri"/>
        <family val="2"/>
      </rPr>
      <t>Multi-Zone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 xml:space="preserve">VAV Systems
</t>
    </r>
    <r>
      <rPr>
        <sz val="8"/>
        <rFont val="Calibri"/>
        <family val="2"/>
      </rPr>
      <t>&gt;10,000 cfm</t>
    </r>
    <r>
      <rPr>
        <vertAlign val="superscript"/>
        <sz val="5"/>
        <rFont val="Calibri"/>
        <family val="2"/>
      </rPr>
      <t>1</t>
    </r>
  </si>
  <si>
    <r>
      <rPr>
        <u/>
        <sz val="8"/>
        <rFont val="Calibri"/>
        <family val="2"/>
      </rPr>
      <t>All Other Fan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 xml:space="preserve">Systems
</t>
    </r>
    <r>
      <rPr>
        <u/>
        <sz val="8"/>
        <rFont val="Calibri"/>
        <family val="2"/>
      </rPr>
      <t>≤5,000 cfm</t>
    </r>
  </si>
  <si>
    <r>
      <rPr>
        <u/>
        <sz val="8"/>
        <rFont val="Calibri"/>
        <family val="2"/>
      </rPr>
      <t>All Other Fan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 xml:space="preserve">Systems
</t>
    </r>
    <r>
      <rPr>
        <u/>
        <sz val="8"/>
        <rFont val="Calibri"/>
        <family val="2"/>
      </rPr>
      <t xml:space="preserve">&gt;5,000 and
</t>
    </r>
    <r>
      <rPr>
        <u/>
        <sz val="8"/>
        <rFont val="Calibri"/>
        <family val="2"/>
      </rPr>
      <t>≤10,000 cfm</t>
    </r>
  </si>
  <si>
    <r>
      <rPr>
        <u/>
        <sz val="8"/>
        <rFont val="Calibri"/>
        <family val="2"/>
      </rPr>
      <t>All Other Fan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 xml:space="preserve">Systems
</t>
    </r>
    <r>
      <rPr>
        <u/>
        <sz val="8"/>
        <rFont val="Calibri"/>
        <family val="2"/>
      </rPr>
      <t>&gt;10,000 cfm</t>
    </r>
  </si>
  <si>
    <r>
      <rPr>
        <b/>
        <u/>
        <sz val="8"/>
        <rFont val="Calibri"/>
        <family val="2"/>
      </rPr>
      <t>Exhaust System Base Allowance</t>
    </r>
  </si>
  <si>
    <r>
      <rPr>
        <sz val="8"/>
        <rFont val="Calibri"/>
        <family val="2"/>
      </rPr>
      <t>Filter (any MERV value)</t>
    </r>
    <r>
      <rPr>
        <vertAlign val="superscript"/>
        <sz val="5"/>
        <rFont val="Calibri"/>
        <family val="2"/>
      </rPr>
      <t>2</t>
    </r>
  </si>
  <si>
    <t>Coil Runaround Loop</t>
  </si>
  <si>
    <r>
      <rPr>
        <strike/>
        <u/>
        <sz val="8"/>
        <rFont val="Calibri"/>
        <family val="2"/>
      </rPr>
      <t>Economizer return</t>
    </r>
    <r>
      <rPr>
        <strike/>
        <sz val="8"/>
        <rFont val="Calibri"/>
        <family val="2"/>
      </rPr>
      <t> </t>
    </r>
    <r>
      <rPr>
        <strike/>
        <u/>
        <sz val="8"/>
        <rFont val="Calibri"/>
        <family val="2"/>
      </rPr>
      <t>damper</t>
    </r>
  </si>
  <si>
    <r>
      <rPr>
        <u/>
        <sz val="8"/>
        <rFont val="Calibri"/>
        <family val="2"/>
      </rPr>
      <t>Return or exhaust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systems required by code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or accreditation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standards to be fully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ducted, or systems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required to maintain air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pressure differentials</t>
    </r>
    <r>
      <rPr>
        <sz val="8"/>
        <rFont val="Calibri"/>
        <family val="2"/>
      </rPr>
      <t xml:space="preserve"> between adjacent rooms</t>
    </r>
  </si>
  <si>
    <r>
      <rPr>
        <u/>
        <sz val="8"/>
        <rFont val="Calibri"/>
        <family val="2"/>
      </rPr>
      <t xml:space="preserve">Return and/or exhaust
</t>
    </r>
    <r>
      <rPr>
        <u/>
        <sz val="8"/>
        <rFont val="Calibri"/>
        <family val="2"/>
      </rPr>
      <t>airflow control devices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required for space</t>
    </r>
    <r>
      <rPr>
        <sz val="8"/>
        <rFont val="Calibri"/>
        <family val="2"/>
      </rPr>
      <t xml:space="preserve"> pressurization control</t>
    </r>
  </si>
  <si>
    <r>
      <rPr>
        <u/>
        <sz val="8"/>
        <rFont val="Calibri"/>
        <family val="2"/>
      </rPr>
      <t>Laboratory and vivarium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exhaust systems in high-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rise buildings for vertica</t>
    </r>
    <r>
      <rPr>
        <sz val="8"/>
        <rFont val="Calibri"/>
        <family val="2"/>
      </rPr>
      <t xml:space="preserve">l </t>
    </r>
    <r>
      <rPr>
        <u/>
        <sz val="8"/>
        <rFont val="Calibri"/>
        <family val="2"/>
      </rPr>
      <t xml:space="preserve">duct exceeding 75 ft.
</t>
    </r>
    <r>
      <rPr>
        <u/>
        <sz val="8"/>
        <rFont val="Calibri"/>
        <family val="2"/>
      </rPr>
      <t>Value shown is allowed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w/cfm per 0.25 in. wg for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each 100 feet exceeding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75 feet. [Calculation</t>
    </r>
    <r>
      <rPr>
        <sz val="8"/>
        <rFont val="Calibri"/>
        <family val="2"/>
      </rPr>
      <t xml:space="preserve"> required, see note 4]</t>
    </r>
  </si>
  <si>
    <r>
      <rPr>
        <u/>
        <sz val="8"/>
        <rFont val="Calibri"/>
        <family val="2"/>
      </rPr>
      <t xml:space="preserve">Biosafety cabinet. Value
</t>
    </r>
    <r>
      <rPr>
        <u/>
        <sz val="8"/>
        <rFont val="Calibri"/>
        <family val="2"/>
      </rPr>
      <t>shown is allowed w/cfm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per 1.0 in. wg air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pressure drop.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[Calculation required, see</t>
    </r>
    <r>
      <rPr>
        <sz val="8"/>
        <rFont val="Calibri"/>
        <family val="2"/>
      </rPr>
      <t xml:space="preserve"> note 4]</t>
    </r>
  </si>
  <si>
    <r>
      <rPr>
        <u/>
        <sz val="8"/>
        <rFont val="Calibri"/>
        <family val="2"/>
      </rPr>
      <t>Exhaust filters,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 scrubbers, or other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exhaust treatment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required by code or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standard. Value shown is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allowed w/cfm per 1.0 in.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wg air pressure drop.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[Calculation required, see</t>
    </r>
    <r>
      <rPr>
        <sz val="8"/>
        <rFont val="Calibri"/>
        <family val="2"/>
      </rPr>
      <t xml:space="preserve"> note 4]</t>
    </r>
  </si>
  <si>
    <r>
      <rPr>
        <u/>
        <sz val="8"/>
        <rFont val="Calibri"/>
        <family val="2"/>
      </rPr>
      <t>Sound attenuation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section [Fans serving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spaces with design</t>
    </r>
    <r>
      <rPr>
        <sz val="8"/>
        <rFont val="Calibri"/>
        <family val="2"/>
      </rPr>
      <t xml:space="preserve"> </t>
    </r>
    <r>
      <rPr>
        <u/>
        <sz val="8"/>
        <rFont val="Calibri"/>
        <family val="2"/>
      </rPr>
      <t>background noise goals</t>
    </r>
    <r>
      <rPr>
        <sz val="8"/>
        <rFont val="Calibri"/>
        <family val="2"/>
      </rPr>
      <t xml:space="preserve"> below NC35.]</t>
    </r>
  </si>
  <si>
    <r>
      <rPr>
        <u/>
        <sz val="8"/>
        <rFont val="Calibri"/>
        <family val="2"/>
      </rPr>
      <t>1. For requirements to be classified as a Multi-Zone VAV System see definition for Multi-Zone Variable Air Volume Fan System</t>
    </r>
    <r>
      <rPr>
        <sz val="8"/>
        <rFont val="Calibri"/>
        <family val="2"/>
      </rPr>
      <t>.</t>
    </r>
  </si>
  <si>
    <r>
      <rPr>
        <u/>
        <sz val="8"/>
        <rFont val="Calibri"/>
        <family val="2"/>
      </rPr>
      <t>2. Filter pressure loss can only be counted once per fan system.</t>
    </r>
  </si>
  <si>
    <r>
      <rPr>
        <u/>
        <sz val="8"/>
        <rFont val="Calibri"/>
        <family val="2"/>
      </rPr>
      <t>3.Energy Recovery Ratio (ERR) calculated per ANSI/ASHRAE 84-2020</t>
    </r>
    <r>
      <rPr>
        <sz val="8"/>
        <rFont val="Calibri"/>
        <family val="2"/>
      </rPr>
      <t>.</t>
    </r>
  </si>
  <si>
    <t>Coil Runaround Loop</t>
  </si>
  <si>
    <r>
      <rPr>
        <u/>
        <sz val="8"/>
        <rFont val="Calibri"/>
        <family val="2"/>
      </rPr>
      <t>2. Filter fan power allowance can only be counted once per fan system.</t>
    </r>
    <r>
      <rPr>
        <sz val="8"/>
        <rFont val="Calibri"/>
        <family val="2"/>
      </rPr>
      <t xml:space="preserve"> </t>
    </r>
  </si>
  <si>
    <t>3. RESERVED.</t>
  </si>
  <si>
    <r>
      <rPr>
        <u/>
        <sz val="8"/>
        <rFont val="Calibri"/>
        <family val="2"/>
      </rPr>
      <t>4. Power allowance requires further calculation, multiplying the actual pressure drop (in. wg.) of the device/ component by the watts/cfm in</t>
    </r>
    <r>
      <rPr>
        <sz val="8"/>
        <rFont val="Calibri"/>
        <family val="2"/>
      </rPr>
      <t> </t>
    </r>
    <r>
      <rPr>
        <u/>
        <sz val="8"/>
        <rFont val="Calibri"/>
        <family val="2"/>
      </rPr>
      <t>the Table 170.2-C</t>
    </r>
    <r>
      <rPr>
        <sz val="8"/>
        <rFont val="Calibri"/>
        <family val="2"/>
      </rPr>
      <t>.</t>
    </r>
  </si>
  <si>
    <t>3a - SZAC</t>
  </si>
  <si>
    <t> ≤5,000 cfm</t>
  </si>
  <si>
    <t> &gt;5,000 and ≤10,000 cfm</t>
  </si>
  <si>
    <t> &gt;10,000 cfm</t>
  </si>
  <si>
    <t>3b - SZHP (no furnace)</t>
  </si>
  <si>
    <t>x</t>
  </si>
  <si>
    <t>7a - SZVAVAC</t>
  </si>
  <si>
    <t>7b - SZVAVHP (no furnace)</t>
  </si>
  <si>
    <t>3c - SZHP (with furnace)</t>
  </si>
  <si>
    <t>7c - SZVAVHP (with furnace)</t>
  </si>
  <si>
    <t>5 - PVAV</t>
  </si>
  <si>
    <t>6 - VAV</t>
  </si>
  <si>
    <t>9 - HEATVENT</t>
  </si>
  <si>
    <t>Is Multi-Zone System?</t>
  </si>
  <si>
    <t>Calculated Values</t>
  </si>
  <si>
    <t>13a - BKICHMAU</t>
  </si>
  <si>
    <t>13b - PKITCHMAU</t>
  </si>
  <si>
    <t>14 - 4PSZVAV</t>
  </si>
  <si>
    <t>As SZSys</t>
  </si>
  <si>
    <t>From CEC in an email, dated 7/5/2023</t>
  </si>
  <si>
    <r>
      <rPr>
        <u/>
        <sz val="8"/>
        <rFont val="Calibri"/>
        <family val="2"/>
      </rPr>
      <t xml:space="preserve">Energy Recovery Allowance for </t>
    </r>
    <r>
      <rPr>
        <sz val="8"/>
        <rFont val="Calibri"/>
        <family val="2"/>
      </rPr>
      <t>0.50 ≤ ERR &lt;0.55</t>
    </r>
  </si>
  <si>
    <r>
      <rPr>
        <u/>
        <sz val="8"/>
        <rFont val="Calibri"/>
        <family val="2"/>
      </rPr>
      <t xml:space="preserve">Energy Recovery Allowance for </t>
    </r>
    <r>
      <rPr>
        <sz val="8"/>
        <rFont val="Calibri"/>
        <family val="2"/>
      </rPr>
      <t>0.55 ≤ ERR &lt;0.60</t>
    </r>
  </si>
  <si>
    <r>
      <rPr>
        <u/>
        <sz val="8"/>
        <rFont val="Calibri"/>
        <family val="2"/>
      </rPr>
      <t xml:space="preserve">Energy Recovery Allowance for </t>
    </r>
    <r>
      <rPr>
        <sz val="8"/>
        <rFont val="Calibri"/>
        <family val="2"/>
      </rPr>
      <t>0.60 ≤ ERR &lt;0.65</t>
    </r>
  </si>
  <si>
    <r>
      <rPr>
        <u/>
        <sz val="8"/>
        <rFont val="Calibri"/>
        <family val="2"/>
      </rPr>
      <t xml:space="preserve">Energy Recovery Allowance for </t>
    </r>
    <r>
      <rPr>
        <sz val="8"/>
        <rFont val="Calibri"/>
        <family val="2"/>
      </rPr>
      <t>0.65 ≤ ERR &lt;0.70</t>
    </r>
  </si>
  <si>
    <r>
      <rPr>
        <u/>
        <sz val="8"/>
        <rFont val="Calibri"/>
        <family val="2"/>
      </rPr>
      <t xml:space="preserve">Energy Recovery Allowance for </t>
    </r>
    <r>
      <rPr>
        <sz val="8"/>
        <rFont val="Calibri"/>
        <family val="2"/>
      </rPr>
      <t>0.70 ≤ ERR &lt;0.75</t>
    </r>
  </si>
  <si>
    <r>
      <rPr>
        <u/>
        <sz val="8"/>
        <rFont val="Calibri"/>
        <family val="2"/>
      </rPr>
      <t xml:space="preserve">Energy Recovery Allowance for </t>
    </r>
    <r>
      <rPr>
        <sz val="8"/>
        <rFont val="Calibri"/>
        <family val="2"/>
      </rPr>
      <t>0.75 ≤ ERR &lt;0.80</t>
    </r>
  </si>
  <si>
    <r>
      <rPr>
        <u/>
        <sz val="8"/>
        <rFont val="Calibri"/>
        <family val="2"/>
      </rPr>
      <t xml:space="preserve">Energy Recovery Allowance for </t>
    </r>
    <r>
      <rPr>
        <sz val="8"/>
        <rFont val="Calibri"/>
        <family val="2"/>
      </rPr>
      <t>ERR ≥ 0.80</t>
    </r>
  </si>
  <si>
    <r>
      <rPr>
        <u/>
        <sz val="8"/>
        <rFont val="Calibri"/>
        <family val="2"/>
      </rPr>
      <t xml:space="preserve">Energy Recovery Allowance for 0.50 </t>
    </r>
    <r>
      <rPr>
        <sz val="8"/>
        <rFont val="Calibri"/>
        <family val="2"/>
      </rPr>
      <t>≤ ERR &lt;0.55</t>
    </r>
  </si>
  <si>
    <r>
      <rPr>
        <u/>
        <sz val="8"/>
        <rFont val="Calibri"/>
        <family val="2"/>
      </rPr>
      <t xml:space="preserve">Energy Recovery Allowance for 0.55 </t>
    </r>
    <r>
      <rPr>
        <sz val="8"/>
        <rFont val="Calibri"/>
        <family val="2"/>
      </rPr>
      <t>≤ ERR &lt;0.60</t>
    </r>
  </si>
  <si>
    <r>
      <rPr>
        <u/>
        <sz val="8"/>
        <rFont val="Calibri"/>
        <family val="2"/>
      </rPr>
      <t xml:space="preserve">Energy Recovery Allowance for 0.60 </t>
    </r>
    <r>
      <rPr>
        <sz val="8"/>
        <rFont val="Calibri"/>
        <family val="2"/>
      </rPr>
      <t>≤ ERR &lt;0.65</t>
    </r>
  </si>
  <si>
    <r>
      <rPr>
        <u/>
        <sz val="8"/>
        <rFont val="Calibri"/>
        <family val="2"/>
      </rPr>
      <t xml:space="preserve">Energy Recovery Allowance for 0.65 </t>
    </r>
    <r>
      <rPr>
        <sz val="8"/>
        <rFont val="Calibri"/>
        <family val="2"/>
      </rPr>
      <t>≤ ERR &lt;0.70</t>
    </r>
  </si>
  <si>
    <r>
      <rPr>
        <u/>
        <sz val="8"/>
        <rFont val="Calibri"/>
        <family val="2"/>
      </rPr>
      <t xml:space="preserve">Energy Recovery Allowance for 0.70 </t>
    </r>
    <r>
      <rPr>
        <sz val="8"/>
        <rFont val="Calibri"/>
        <family val="2"/>
      </rPr>
      <t>≤ ERR &lt;0.75</t>
    </r>
  </si>
  <si>
    <r>
      <rPr>
        <u/>
        <sz val="8"/>
        <rFont val="Calibri"/>
        <family val="2"/>
      </rPr>
      <t xml:space="preserve">Energy Recovery Allowance for 0.75 </t>
    </r>
    <r>
      <rPr>
        <sz val="8"/>
        <rFont val="Calibri"/>
        <family val="2"/>
      </rPr>
      <t>≤ ERR &lt;0.80</t>
    </r>
  </si>
  <si>
    <r>
      <rPr>
        <u/>
        <sz val="8"/>
        <rFont val="Calibri"/>
        <family val="2"/>
      </rPr>
      <t xml:space="preserve">Energy Recovery Allowance for ERR </t>
    </r>
    <r>
      <rPr>
        <sz val="8"/>
        <rFont val="Calibri"/>
        <family val="2"/>
      </rPr>
      <t>≥ 0.80</t>
    </r>
  </si>
  <si>
    <t>As MZSys</t>
  </si>
  <si>
    <t>15 - PVAVAWHP</t>
  </si>
  <si>
    <t>;</t>
  </si>
  <si>
    <t>Exhaust systems required by code to be fully ducted</t>
  </si>
  <si>
    <t>Return systems required by code to be fully ducted</t>
  </si>
  <si>
    <t>Exhaust filters, scrubbers, or other exhaust treatment (calculation required, see note)</t>
  </si>
  <si>
    <t>Particulate filtration credit: MERV 16 or greater and electronically enhanced filters</t>
  </si>
  <si>
    <t>Carbon and other gas-phase air cleaners (calculation required, see note)</t>
  </si>
  <si>
    <t>Biosafety cabinet (calculation required, see note)</t>
  </si>
  <si>
    <t>Exhaust Systems Base Allowance</t>
  </si>
  <si>
    <t>Supply - Energy Recovery (Enthalpy Recovery Ratio ? 0.60 and &lt;0.65)  </t>
  </si>
  <si>
    <t>Return - Energy Recovery (Enthalpy Recovery Ratio ? 0.60 and &lt;0.65)  </t>
  </si>
  <si>
    <t>Return - Filter (any MERV value)</t>
  </si>
  <si>
    <t>Single Zone VAV Systems that are capable of turning down to 50% of full load airflow at a maximum of 30% design wattage</t>
  </si>
  <si>
    <t>SysType</t>
  </si>
  <si>
    <t>FlowCap</t>
  </si>
  <si>
    <t>FullyDuctedExh</t>
  </si>
  <si>
    <t>FullyDuctedRet</t>
  </si>
  <si>
    <t>ExhFilters</t>
  </si>
  <si>
    <t>MERVGTE16</t>
  </si>
  <si>
    <t>GasPhaseAirCleaners</t>
  </si>
  <si>
    <t>BiosftyCabExh</t>
  </si>
  <si>
    <t>ExhBaseAllow</t>
  </si>
  <si>
    <t>ERVSupply</t>
  </si>
  <si>
    <t>ERVReturn</t>
  </si>
  <si>
    <t>RetFilter</t>
  </si>
  <si>
    <t>SZVAV</t>
  </si>
  <si>
    <t>MultiZoneVAV</t>
  </si>
  <si>
    <t>&lt;=5000</t>
  </si>
  <si>
    <t>&lt;=10000</t>
  </si>
  <si>
    <t>&gt;10000</t>
  </si>
  <si>
    <t>AllOther</t>
  </si>
  <si>
    <t>ENDTABLE</t>
  </si>
  <si>
    <t>3a – SZAC</t>
  </si>
  <si>
    <t>3b – SZHP (no furnace)</t>
  </si>
  <si>
    <t>3c – SZDFHP (with furnace)</t>
  </si>
  <si>
    <t xml:space="preserve">7a – SZVAVAC </t>
  </si>
  <si>
    <t>7b – SZVAVHP</t>
  </si>
  <si>
    <t>7c – SZVAVDFHP (with furnace)</t>
  </si>
  <si>
    <t>5 – PVAV</t>
  </si>
  <si>
    <t>6 – VAV</t>
  </si>
  <si>
    <t>9 – HEATVENT</t>
  </si>
  <si>
    <t>Sys3a</t>
  </si>
  <si>
    <t>Sys3b</t>
  </si>
  <si>
    <t>Sys3c</t>
  </si>
  <si>
    <t>Sys7a</t>
  </si>
  <si>
    <t>Sys7b</t>
  </si>
  <si>
    <t>Sys7c</t>
  </si>
  <si>
    <t>Sys5</t>
  </si>
  <si>
    <t>Sys6</t>
  </si>
  <si>
    <t>Sys9</t>
  </si>
  <si>
    <t>TABLE T24N_2025FanPwrIdxAdj</t>
  </si>
  <si>
    <t>Supply -Coil Runaround Loop</t>
  </si>
  <si>
    <t>Return - Coil Runaround Loop</t>
  </si>
  <si>
    <t>ERVCoilRunaroundSupply</t>
  </si>
  <si>
    <t>ERVCoilRunaroundReturn</t>
  </si>
  <si>
    <t>TABLE T24N_2025BaseFanPwrIdx</t>
  </si>
  <si>
    <t>Sys13a</t>
  </si>
  <si>
    <t>Sys13b</t>
  </si>
  <si>
    <t>Sys14s</t>
  </si>
  <si>
    <t>Sys14m</t>
  </si>
  <si>
    <t>Sys15</t>
  </si>
  <si>
    <t>TABLE T24N_2025AddBaseFanPwrIdxForEAA</t>
  </si>
  <si>
    <t>MZ-VAV (Systems 5, 6, 14, and 15)</t>
  </si>
  <si>
    <t>All other (Systems 1, 3, 7, and 9)</t>
  </si>
  <si>
    <t>MZVAV</t>
  </si>
  <si>
    <t xml:space="preserve">TABLE 140.4-A: Supply Fan Power Allowances (watts/cfm) </t>
  </si>
  <si>
    <t>TABLE 140.4-B: EXHAUST, RETURN, RELIEF, TRANSFER FAN POWER ALLOWANCES (CFM/WATT)</t>
  </si>
  <si>
    <t>Energy Recovery Allowance for 0.60 ≤ ERR &lt;0.65</t>
  </si>
  <si>
    <t xml:space="preserve">Supply fan power allowances = 1, Otherwise = 0 </t>
  </si>
  <si>
    <t>Energy Recovery Allowance for 0.60 ≤ ERR &lt;0.65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</si>
</sst>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0"/>
      <color rgb="FF000000"/>
      <name val="Times New Roman"/>
      <charset val="204"/>
    </font>
    <font>
      <u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u/>
      <sz val="8"/>
      <name val="Calibri"/>
      <family val="2"/>
    </font>
    <font>
      <strike/>
      <sz val="8"/>
      <name val="Calibri"/>
      <family val="2"/>
    </font>
    <font>
      <strike/>
      <vertAlign val="superscript"/>
      <sz val="5"/>
      <name val="Calibri"/>
      <family val="2"/>
    </font>
    <font>
      <i/>
      <sz val="8"/>
      <name val="Calibri"/>
      <family val="2"/>
    </font>
    <font>
      <strike/>
      <u/>
      <sz val="8"/>
      <name val="Calibri"/>
      <family val="2"/>
    </font>
    <font>
      <i/>
      <u/>
      <sz val="8"/>
      <name val="Calibri"/>
      <family val="2"/>
    </font>
    <font>
      <vertAlign val="superscript"/>
      <sz val="5"/>
      <name val="Calibri"/>
      <family val="2"/>
    </font>
    <font>
      <b/>
      <sz val="8"/>
      <name val="Calibri"/>
      <family val="2"/>
    </font>
    <font>
      <b/>
      <u/>
      <sz val="8"/>
      <name val="Calibri"/>
      <family val="2"/>
    </font>
    <font>
      <b/>
      <u/>
      <sz val="8"/>
      <color rgb="FF000000"/>
      <name val="Calibri"/>
      <family val="2"/>
    </font>
    <font>
      <b/>
      <u/>
      <sz val="8"/>
      <color rgb="FFFF0000"/>
      <name val="Calibri"/>
      <family val="2"/>
    </font>
    <font>
      <b/>
      <u/>
      <sz val="8"/>
      <color theme="4"/>
      <name val="Calibri"/>
      <family val="2"/>
    </font>
    <font>
      <b/>
      <u/>
      <sz val="12"/>
      <name val="Calibri"/>
      <family val="2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0" tint="-0.24997711111789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Up"/>
    </fill>
    <fill>
      <patternFill patternType="lightUp">
        <bgColor theme="9" tint="0.79998168889431442"/>
      </patternFill>
    </fill>
    <fill>
      <patternFill patternType="lightUp"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16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16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164" fontId="0" fillId="5" borderId="2" xfId="0" applyNumberFormat="1" applyFill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9" fillId="0" borderId="2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16" fillId="7" borderId="2" xfId="0" applyFont="1" applyFill="1" applyBorder="1" applyAlignment="1">
      <alignment horizontal="left" vertical="top"/>
    </xf>
    <xf numFmtId="164" fontId="0" fillId="8" borderId="2" xfId="0" applyNumberFormat="1" applyFill="1" applyBorder="1" applyAlignment="1">
      <alignment horizontal="left" vertical="top"/>
    </xf>
    <xf numFmtId="164" fontId="0" fillId="7" borderId="0" xfId="0" applyNumberFormat="1" applyFill="1" applyAlignment="1">
      <alignment horizontal="left" vertical="top"/>
    </xf>
    <xf numFmtId="0" fontId="0" fillId="7" borderId="2" xfId="0" applyFill="1" applyBorder="1" applyAlignment="1">
      <alignment horizontal="left" vertical="top"/>
    </xf>
    <xf numFmtId="0" fontId="19" fillId="7" borderId="2" xfId="0" applyFont="1" applyFill="1" applyBorder="1" applyAlignment="1">
      <alignment horizontal="left" vertical="top"/>
    </xf>
    <xf numFmtId="0" fontId="0" fillId="9" borderId="2" xfId="0" applyFill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14</xdr:row>
      <xdr:rowOff>0</xdr:rowOff>
    </xdr:from>
    <xdr:to>
      <xdr:col>36</xdr:col>
      <xdr:colOff>594939</xdr:colOff>
      <xdr:row>58</xdr:row>
      <xdr:rowOff>52227</xdr:rowOff>
    </xdr:to>
    <xdr:pic>
      <xdr:nvPicPr>
        <xdr:cNvPr id="4" name="Picture 3" descr="A table with numbers and text&#10;&#10;AI-generated content may be incorrect.">
          <a:extLst>
            <a:ext uri="{FF2B5EF4-FFF2-40B4-BE49-F238E27FC236}">
              <a16:creationId xmlns:a16="http://schemas.microsoft.com/office/drawing/2014/main" id="{203D353D-F3A8-4553-90F1-0CA9EF30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5380" y="1767840"/>
          <a:ext cx="6690939" cy="2643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4:AA79"/>
  <sheetViews>
    <sheetView workbookViewId="0"/>
  </sheetViews>
  <sheetFormatPr defaultRowHeight="13.2" outlineLevelCol="1" x14ac:dyDescent="0.25"/>
  <cols>
    <col min="1" max="1" width="5.77734375" hidden="1" customWidth="1" outlineLevel="1"/>
    <col min="2" max="2" width="48.77734375" hidden="1" customWidth="1" outlineLevel="1"/>
    <col min="3" max="3" width="14.77734375" style="8" hidden="1" customWidth="1" outlineLevel="1"/>
    <col min="4" max="4" width="15.109375" style="8" hidden="1" customWidth="1" outlineLevel="1"/>
    <col min="5" max="5" width="12.6640625" style="8" hidden="1" customWidth="1" outlineLevel="1"/>
    <col min="6" max="7" width="16.44140625" style="8" hidden="1" customWidth="1" outlineLevel="1"/>
    <col min="8" max="8" width="16.109375" style="8" hidden="1" customWidth="1" outlineLevel="1"/>
    <col min="9" max="9" width="13.44140625" style="8" customWidth="1" collapsed="1"/>
    <col min="10" max="10" width="52.77734375" customWidth="1"/>
  </cols>
  <sheetData>
    <row r="4" spans="9:27" x14ac:dyDescent="0.25">
      <c r="J4" s="31" t="s">
        <v>157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</row>
    <row r="5" spans="9:27" x14ac:dyDescent="0.25">
      <c r="K5" s="27" t="s">
        <v>41</v>
      </c>
      <c r="L5" s="27" t="s">
        <v>41</v>
      </c>
      <c r="M5" s="27" t="s">
        <v>45</v>
      </c>
      <c r="N5" s="27" t="s">
        <v>10</v>
      </c>
      <c r="O5" s="27" t="s">
        <v>19</v>
      </c>
      <c r="P5" s="27" t="s">
        <v>44</v>
      </c>
      <c r="Q5" s="27" t="s">
        <v>37</v>
      </c>
      <c r="R5" s="27" t="s">
        <v>156</v>
      </c>
      <c r="S5" s="27" t="s">
        <v>158</v>
      </c>
      <c r="T5" s="27" t="s">
        <v>38</v>
      </c>
      <c r="U5" s="27" t="s">
        <v>24</v>
      </c>
      <c r="V5" s="29" t="s">
        <v>50</v>
      </c>
      <c r="W5" s="29" t="s">
        <v>39</v>
      </c>
    </row>
    <row r="6" spans="9:27" x14ac:dyDescent="0.25">
      <c r="I6" s="37" t="s">
        <v>102</v>
      </c>
      <c r="J6" s="51" t="s">
        <v>103</v>
      </c>
      <c r="K6" s="37" t="s">
        <v>91</v>
      </c>
      <c r="L6" s="37" t="s">
        <v>92</v>
      </c>
      <c r="M6" s="37" t="s">
        <v>93</v>
      </c>
      <c r="N6" s="37" t="s">
        <v>94</v>
      </c>
      <c r="O6" s="37" t="s">
        <v>95</v>
      </c>
      <c r="P6" s="37" t="s">
        <v>96</v>
      </c>
      <c r="Q6" s="37" t="s">
        <v>97</v>
      </c>
      <c r="R6" s="37" t="s">
        <v>98</v>
      </c>
      <c r="S6" s="37" t="s">
        <v>99</v>
      </c>
      <c r="T6" s="37" t="s">
        <v>100</v>
      </c>
      <c r="U6" s="37" t="s">
        <v>101</v>
      </c>
      <c r="V6" s="37" t="s">
        <v>140</v>
      </c>
      <c r="W6" s="37" t="s">
        <v>141</v>
      </c>
    </row>
    <row r="7" spans="9:27" x14ac:dyDescent="0.25">
      <c r="I7" s="50" t="s">
        <v>115</v>
      </c>
      <c r="J7" s="51" t="s">
        <v>55</v>
      </c>
      <c r="K7" s="37">
        <f>IF(K$4=1,_xlfn.XLOOKUP(K$5,$B$20:$B$46,$C$20:$C$46),_xlfn.XLOOKUP(K$5,$B$59:$B$75,$C$59:$C$75))</f>
        <v>0.11600000000000001</v>
      </c>
      <c r="L7" s="37">
        <f t="shared" ref="L7:X7" si="0">IF(L$4=1,_xlfn.XLOOKUP(L$5,$B$20:$B$46,$C$20:$C$46),_xlfn.XLOOKUP(L$5,$B$59:$B$75,$C$59:$C$75))</f>
        <v>0.11600000000000001</v>
      </c>
      <c r="M7" s="37">
        <f t="shared" si="0"/>
        <v>0.23100000000000001</v>
      </c>
      <c r="N7" s="37">
        <f t="shared" si="0"/>
        <v>0.33500000000000002</v>
      </c>
      <c r="O7" s="37">
        <f t="shared" si="0"/>
        <v>0.224</v>
      </c>
      <c r="P7" s="37">
        <f t="shared" si="0"/>
        <v>0.23100000000000001</v>
      </c>
      <c r="Q7" s="37">
        <f t="shared" si="0"/>
        <v>0.221</v>
      </c>
      <c r="R7" s="37">
        <f t="shared" si="0"/>
        <v>0.184</v>
      </c>
      <c r="S7" s="37">
        <f t="shared" si="0"/>
        <v>0.19</v>
      </c>
      <c r="T7" s="37">
        <f t="shared" si="0"/>
        <v>4.5999999999999999E-2</v>
      </c>
      <c r="U7" s="37">
        <f t="shared" si="0"/>
        <v>0</v>
      </c>
      <c r="V7" s="37">
        <f t="shared" si="0"/>
        <v>0.13500000000000001</v>
      </c>
      <c r="W7" s="37">
        <f t="shared" si="0"/>
        <v>0.13900000000000001</v>
      </c>
    </row>
    <row r="8" spans="9:27" x14ac:dyDescent="0.25">
      <c r="I8" s="50" t="s">
        <v>115</v>
      </c>
      <c r="J8" s="51" t="s">
        <v>56</v>
      </c>
      <c r="K8" s="37">
        <f>IF(K$4=1,_xlfn.XLOOKUP(K$5,$B$20:$B$46,$D$20:$D$46),_xlfn.XLOOKUP(K$5,$B$59:$B$75,$D$59:$D$75))</f>
        <v>0.1</v>
      </c>
      <c r="L8" s="37">
        <f t="shared" ref="L8:X8" si="1">IF(L$4=1,_xlfn.XLOOKUP(L$5,$B$20:$B$46,$D$20:$D$46),_xlfn.XLOOKUP(L$5,$B$59:$B$75,$D$59:$D$75))</f>
        <v>0.1</v>
      </c>
      <c r="M8" s="37">
        <f t="shared" si="1"/>
        <v>0.19800000000000001</v>
      </c>
      <c r="N8" s="37">
        <f t="shared" si="1"/>
        <v>0.28000000000000003</v>
      </c>
      <c r="O8" s="37">
        <f t="shared" si="1"/>
        <v>0.188</v>
      </c>
      <c r="P8" s="37">
        <f t="shared" si="1"/>
        <v>0.19800000000000001</v>
      </c>
      <c r="Q8" s="37">
        <f t="shared" si="1"/>
        <v>0.246</v>
      </c>
      <c r="R8" s="37">
        <f t="shared" si="1"/>
        <v>0.155</v>
      </c>
      <c r="S8" s="37">
        <f t="shared" si="1"/>
        <v>0.16300000000000001</v>
      </c>
      <c r="T8" s="37">
        <f t="shared" si="1"/>
        <v>4.1000000000000002E-2</v>
      </c>
      <c r="U8" s="37">
        <f t="shared" si="1"/>
        <v>0</v>
      </c>
      <c r="V8" s="37">
        <f t="shared" si="1"/>
        <v>0.114</v>
      </c>
      <c r="W8" s="37">
        <f t="shared" si="1"/>
        <v>0.12</v>
      </c>
    </row>
    <row r="9" spans="9:27" x14ac:dyDescent="0.25">
      <c r="I9" s="50" t="s">
        <v>115</v>
      </c>
      <c r="J9" s="51" t="s">
        <v>57</v>
      </c>
      <c r="K9" s="37">
        <f>IF(K$4=1,_xlfn.XLOOKUP(K$5,$B$20:$B$46,$E$20:$E$46),_xlfn.XLOOKUP(K$5,$B$59:$B$75,$E$59:$E$75))</f>
        <v>8.8999999999999996E-2</v>
      </c>
      <c r="L9" s="37">
        <f t="shared" ref="L9:X9" si="2">IF(L$4=1,_xlfn.XLOOKUP(L$5,$B$20:$B$46,$E$20:$E$46),_xlfn.XLOOKUP(L$5,$B$59:$B$75,$E$59:$E$75))</f>
        <v>8.8999999999999996E-2</v>
      </c>
      <c r="M9" s="37">
        <f t="shared" si="2"/>
        <v>0.17699999999999999</v>
      </c>
      <c r="N9" s="37">
        <f t="shared" si="2"/>
        <v>0.26500000000000001</v>
      </c>
      <c r="O9" s="37">
        <f t="shared" si="2"/>
        <v>0.17599999999999999</v>
      </c>
      <c r="P9" s="37">
        <f t="shared" si="2"/>
        <v>0.17699999999999999</v>
      </c>
      <c r="Q9" s="37">
        <f t="shared" si="2"/>
        <v>0.23599999999999999</v>
      </c>
      <c r="R9" s="37">
        <f t="shared" si="2"/>
        <v>0.14399999999999999</v>
      </c>
      <c r="S9" s="37">
        <f t="shared" si="2"/>
        <v>0.14599999999999999</v>
      </c>
      <c r="T9" s="37">
        <f t="shared" si="2"/>
        <v>3.5999999999999997E-2</v>
      </c>
      <c r="U9" s="37">
        <f t="shared" si="2"/>
        <v>0</v>
      </c>
      <c r="V9" s="37">
        <f t="shared" si="2"/>
        <v>0.105</v>
      </c>
      <c r="W9" s="37">
        <f t="shared" si="2"/>
        <v>0.107</v>
      </c>
    </row>
    <row r="10" spans="9:27" x14ac:dyDescent="0.25">
      <c r="I10" s="50" t="s">
        <v>119</v>
      </c>
      <c r="J10" s="51" t="s">
        <v>55</v>
      </c>
      <c r="K10" s="37">
        <f>IF(K$4=1,_xlfn.XLOOKUP(K$5,$B$20:$B$46,$F$20:$F$46),_xlfn.XLOOKUP(K$5,$B$59:$B$75,$F$59:$F$75))</f>
        <v>0.11600000000000001</v>
      </c>
      <c r="L10" s="37">
        <f t="shared" ref="L10:X10" si="3">IF(L$4=1,_xlfn.XLOOKUP(L$5,$B$20:$B$46,$F$20:$F$46),_xlfn.XLOOKUP(L$5,$B$59:$B$75,$F$59:$F$75))</f>
        <v>0.11600000000000001</v>
      </c>
      <c r="M10" s="37">
        <f t="shared" si="3"/>
        <v>0.23200000000000001</v>
      </c>
      <c r="N10" s="37">
        <f t="shared" si="3"/>
        <v>0.34200000000000003</v>
      </c>
      <c r="O10" s="37">
        <f t="shared" si="3"/>
        <v>0.23100000000000001</v>
      </c>
      <c r="P10" s="37">
        <f t="shared" si="3"/>
        <v>0.23200000000000001</v>
      </c>
      <c r="Q10" s="37">
        <f t="shared" si="3"/>
        <v>0.186</v>
      </c>
      <c r="R10" s="37">
        <f t="shared" si="3"/>
        <v>0.19</v>
      </c>
      <c r="S10" s="37">
        <f t="shared" si="3"/>
        <v>0.191</v>
      </c>
      <c r="T10" s="37">
        <f t="shared" si="3"/>
        <v>4.5999999999999999E-2</v>
      </c>
      <c r="U10" s="37">
        <f t="shared" si="3"/>
        <v>7.0000000000000007E-2</v>
      </c>
      <c r="V10" s="37">
        <f t="shared" si="3"/>
        <v>0.13900000000000001</v>
      </c>
      <c r="W10" s="37">
        <f t="shared" si="3"/>
        <v>0.13900000000000001</v>
      </c>
    </row>
    <row r="11" spans="9:27" x14ac:dyDescent="0.25">
      <c r="I11" s="50" t="s">
        <v>119</v>
      </c>
      <c r="J11" s="51" t="s">
        <v>56</v>
      </c>
      <c r="K11" s="37">
        <f>IF(K$4=1,_xlfn.XLOOKUP(K$5,$B$20:$B$46,$G$20:$G$46),_xlfn.XLOOKUP(K$5,$B$59:$B$75,$G$59:$G$75))</f>
        <v>0.10199999999999999</v>
      </c>
      <c r="L11" s="37">
        <f t="shared" ref="L11:X11" si="4">IF(L$4=1,_xlfn.XLOOKUP(L$5,$B$20:$B$46,$G$20:$G$46),_xlfn.XLOOKUP(L$5,$B$59:$B$75,$G$59:$G$75))</f>
        <v>0.10199999999999999</v>
      </c>
      <c r="M11" s="37">
        <f t="shared" si="4"/>
        <v>0.20200000000000001</v>
      </c>
      <c r="N11" s="37">
        <f t="shared" si="4"/>
        <v>0.29199999999999998</v>
      </c>
      <c r="O11" s="37">
        <f t="shared" si="4"/>
        <v>0.19700000000000001</v>
      </c>
      <c r="P11" s="37">
        <f t="shared" si="4"/>
        <v>0.20200000000000001</v>
      </c>
      <c r="Q11" s="37">
        <f t="shared" si="4"/>
        <v>0.184</v>
      </c>
      <c r="R11" s="37">
        <f t="shared" si="4"/>
        <v>0.16300000000000001</v>
      </c>
      <c r="S11" s="37">
        <f t="shared" si="4"/>
        <v>0.16600000000000001</v>
      </c>
      <c r="T11" s="37">
        <f t="shared" si="4"/>
        <v>4.1000000000000002E-2</v>
      </c>
      <c r="U11" s="37">
        <f t="shared" si="4"/>
        <v>0.1</v>
      </c>
      <c r="V11" s="37">
        <f t="shared" si="4"/>
        <v>0.12</v>
      </c>
      <c r="W11" s="37">
        <f t="shared" si="4"/>
        <v>0.123</v>
      </c>
    </row>
    <row r="12" spans="9:27" x14ac:dyDescent="0.25">
      <c r="I12" s="50" t="s">
        <v>119</v>
      </c>
      <c r="J12" s="51" t="s">
        <v>57</v>
      </c>
      <c r="K12" s="37">
        <f>IF(K$4=1,_xlfn.XLOOKUP(K$5,$B$20:$B$46,$H$20:$H$46),_xlfn.XLOOKUP(K$5,$B$59:$B$75,$H$59:$H$75))</f>
        <v>9.0999999999999998E-2</v>
      </c>
      <c r="L12" s="37">
        <f t="shared" ref="L12:X12" si="5">IF(L$4=1,_xlfn.XLOOKUP(L$5,$B$20:$B$46,$H$20:$H$46),_xlfn.XLOOKUP(L$5,$B$59:$B$75,$H$59:$H$75))</f>
        <v>9.0999999999999998E-2</v>
      </c>
      <c r="M12" s="37">
        <f t="shared" si="5"/>
        <v>0.17899999999999999</v>
      </c>
      <c r="N12" s="37">
        <f t="shared" si="5"/>
        <v>0.26400000000000001</v>
      </c>
      <c r="O12" s="37">
        <f t="shared" si="5"/>
        <v>0.17699999999999999</v>
      </c>
      <c r="P12" s="37">
        <f t="shared" si="5"/>
        <v>0.17899999999999999</v>
      </c>
      <c r="Q12" s="37">
        <f t="shared" si="5"/>
        <v>0.19</v>
      </c>
      <c r="R12" s="37">
        <f t="shared" si="5"/>
        <v>0.14599999999999999</v>
      </c>
      <c r="S12" s="37">
        <f t="shared" si="5"/>
        <v>0.14799999999999999</v>
      </c>
      <c r="T12" s="37">
        <f t="shared" si="5"/>
        <v>3.5000000000000003E-2</v>
      </c>
      <c r="U12" s="37">
        <f t="shared" si="5"/>
        <v>8.8999999999999996E-2</v>
      </c>
      <c r="V12" s="37">
        <f t="shared" si="5"/>
        <v>0.107</v>
      </c>
      <c r="W12" s="37">
        <f t="shared" si="5"/>
        <v>0.109</v>
      </c>
    </row>
    <row r="13" spans="9:27" x14ac:dyDescent="0.25">
      <c r="V13" s="31" t="s">
        <v>72</v>
      </c>
      <c r="W13" s="31" t="s">
        <v>88</v>
      </c>
    </row>
    <row r="14" spans="9:27" ht="15.6" x14ac:dyDescent="0.25">
      <c r="J14" s="3" t="s">
        <v>68</v>
      </c>
      <c r="K14" s="36" t="s">
        <v>54</v>
      </c>
      <c r="L14" s="36" t="s">
        <v>58</v>
      </c>
      <c r="M14" s="36" t="s">
        <v>62</v>
      </c>
      <c r="N14" s="36" t="s">
        <v>60</v>
      </c>
      <c r="O14" s="36" t="s">
        <v>61</v>
      </c>
      <c r="P14" s="36" t="s">
        <v>63</v>
      </c>
      <c r="Q14" s="36" t="s">
        <v>64</v>
      </c>
      <c r="R14" s="36" t="s">
        <v>65</v>
      </c>
      <c r="S14" s="36" t="s">
        <v>66</v>
      </c>
      <c r="T14" s="36" t="s">
        <v>69</v>
      </c>
      <c r="U14" s="36" t="s">
        <v>70</v>
      </c>
      <c r="V14" s="44" t="s">
        <v>71</v>
      </c>
      <c r="W14" s="36" t="s">
        <v>71</v>
      </c>
      <c r="X14" s="36" t="s">
        <v>89</v>
      </c>
      <c r="AA14" t="s">
        <v>73</v>
      </c>
    </row>
    <row r="15" spans="9:27" x14ac:dyDescent="0.25">
      <c r="J15" s="37" t="s">
        <v>55</v>
      </c>
      <c r="K15" s="38">
        <f ca="1">IF(K19&lt;&gt;"",SUMIF(K20:K75,"x",OFFSET($B$20,0,1,56,1)),SUMIF(K20:K75,"x",OFFSET($B$20,0,4,56,1)))</f>
        <v>0.8</v>
      </c>
      <c r="L15" s="38">
        <f t="shared" ref="L15:M15" ca="1" si="6">IF(L19&lt;&gt;"",SUMIF(L20:L75,"x",OFFSET($B$20,0,1,56,1)),SUMIF(L20:L75,"x",OFFSET($B$20,0,4,56,1)))</f>
        <v>0.74199999999999999</v>
      </c>
      <c r="M15" s="38">
        <f t="shared" ca="1" si="6"/>
        <v>0.8</v>
      </c>
      <c r="N15" s="38">
        <f t="shared" ref="N15:P15" ca="1" si="7">IF(N19&lt;&gt;"",SUMIF(N20:N75,"x",OFFSET($B$20,0,1,56,1)),SUMIF(N20:N75,"x",OFFSET($B$20,0,4,56,1)))</f>
        <v>0.8</v>
      </c>
      <c r="O15" s="38">
        <f t="shared" ca="1" si="7"/>
        <v>0.74199999999999999</v>
      </c>
      <c r="P15" s="38">
        <f t="shared" ca="1" si="7"/>
        <v>0.8</v>
      </c>
      <c r="Q15" s="38">
        <f t="shared" ref="Q15:S15" ca="1" si="8">IF(Q19&lt;&gt;"",SUMIF(Q20:Q75,"x",OFFSET($B$20,0,1,56,1)),SUMIF(Q20:Q75,"x",OFFSET($B$20,0,4,56,1)))</f>
        <v>0.97800000000000009</v>
      </c>
      <c r="R15" s="38">
        <f t="shared" ca="1" si="8"/>
        <v>0.97800000000000009</v>
      </c>
      <c r="S15" s="38">
        <f t="shared" ca="1" si="8"/>
        <v>0.61499999999999999</v>
      </c>
      <c r="T15" s="39">
        <f t="shared" ref="T15:X15" ca="1" si="9">IF(T19&lt;&gt;"",SUMIF(T20:T75,"x",OFFSET($B$20,0,1,56,1)),SUMIF(T20:T75,"x",OFFSET($B$20,0,4,56,1)))</f>
        <v>0.60200000000000009</v>
      </c>
      <c r="U15" s="38">
        <f t="shared" ca="1" si="9"/>
        <v>0.6140000000000001</v>
      </c>
      <c r="V15" s="45">
        <f ca="1">IF(V19&lt;&gt;"",SUMIF(V20:V75,"x",OFFSET($B$20,0,1,56,1)),SUMIF(V20:V75,"x",OFFSET($B$20,0,4,56,1)))</f>
        <v>0.62600000000000011</v>
      </c>
      <c r="W15" s="39">
        <f t="shared" ca="1" si="9"/>
        <v>0.71200000000000008</v>
      </c>
      <c r="X15" s="38">
        <f t="shared" ca="1" si="9"/>
        <v>0.97800000000000009</v>
      </c>
    </row>
    <row r="16" spans="9:27" x14ac:dyDescent="0.25">
      <c r="J16" s="37" t="s">
        <v>56</v>
      </c>
      <c r="K16" s="38">
        <f ca="1">IF(K19&lt;&gt;"",SUMIF(K20:K75,"x",OFFSET($B$20,0,2,56,1)),SUMIF(K20:K75,"x",OFFSET($B$20,0,5,56,1)))</f>
        <v>0.78</v>
      </c>
      <c r="L16" s="38">
        <f t="shared" ref="L16:M16" ca="1" si="10">IF(L19&lt;&gt;"",SUMIF(L20:L75,"x",OFFSET($B$20,0,2,56,1)),SUMIF(L20:L75,"x",OFFSET($B$20,0,5,56,1)))</f>
        <v>0.72</v>
      </c>
      <c r="M16" s="38">
        <f t="shared" ca="1" si="10"/>
        <v>0.78</v>
      </c>
      <c r="N16" s="38">
        <f t="shared" ref="N16:P16" ca="1" si="11">IF(N19&lt;&gt;"",SUMIF(N20:N75,"x",OFFSET($B$20,0,2,56,1)),SUMIF(N20:N75,"x",OFFSET($B$20,0,5,56,1)))</f>
        <v>0.78</v>
      </c>
      <c r="O16" s="38">
        <f t="shared" ca="1" si="11"/>
        <v>0.72</v>
      </c>
      <c r="P16" s="38">
        <f t="shared" ca="1" si="11"/>
        <v>0.78</v>
      </c>
      <c r="Q16" s="38">
        <f t="shared" ref="Q16:S16" ca="1" si="12">IF(Q19&lt;&gt;"",SUMIF(Q20:Q75,"x",OFFSET($B$20,0,2,56,1)),SUMIF(Q20:Q75,"x",OFFSET($B$20,0,5,56,1)))</f>
        <v>1.0130000000000001</v>
      </c>
      <c r="R16" s="38">
        <f t="shared" ca="1" si="12"/>
        <v>1.0130000000000001</v>
      </c>
      <c r="S16" s="38">
        <f t="shared" ca="1" si="12"/>
        <v>0.62</v>
      </c>
      <c r="T16" s="39">
        <f t="shared" ref="T16:X16" ca="1" si="13">IF(T19&lt;&gt;"",SUMIF(T20:T75,"x",OFFSET($B$20,0,2,56,1)),SUMIF(T20:T75,"x",OFFSET($B$20,0,5,56,1)))</f>
        <v>0.58600000000000008</v>
      </c>
      <c r="U16" s="38">
        <f t="shared" ca="1" si="13"/>
        <v>0.59600000000000009</v>
      </c>
      <c r="V16" s="45">
        <f t="shared" ca="1" si="13"/>
        <v>0.64600000000000002</v>
      </c>
      <c r="W16" s="39">
        <f t="shared" ca="1" si="13"/>
        <v>0.72900000000000009</v>
      </c>
      <c r="X16" s="38">
        <f t="shared" ca="1" si="13"/>
        <v>1.0130000000000001</v>
      </c>
    </row>
    <row r="17" spans="1:25" s="3" customFormat="1" ht="15.6" x14ac:dyDescent="0.25">
      <c r="A17" s="2" t="s">
        <v>154</v>
      </c>
      <c r="C17" s="7"/>
      <c r="D17" s="7"/>
      <c r="E17" s="7"/>
      <c r="F17" s="7"/>
      <c r="G17" s="7"/>
      <c r="H17" s="7"/>
      <c r="I17" s="7"/>
      <c r="J17" s="37" t="s">
        <v>57</v>
      </c>
      <c r="K17" s="38">
        <f ca="1">IF(K19&lt;&gt;"",SUMIF(K20:K75,"x",OFFSET($B$20,0,3,56,1)),SUMIF(K20:K75,"x",OFFSET($B$20,0,6,56,1)))</f>
        <v>0.748</v>
      </c>
      <c r="L17" s="38">
        <f t="shared" ref="L17:M17" ca="1" si="14">IF(L19&lt;&gt;"",SUMIF(L20:L75,"x",OFFSET($B$20,0,3,56,1)),SUMIF(L20:L75,"x",OFFSET($B$20,0,6,56,1)))</f>
        <v>0.67599999999999993</v>
      </c>
      <c r="M17" s="38">
        <f t="shared" ca="1" si="14"/>
        <v>0.748</v>
      </c>
      <c r="N17" s="38">
        <f t="shared" ref="N17:P17" ca="1" si="15">IF(N19&lt;&gt;"",SUMIF(N20:N75,"x",OFFSET($B$20,0,3,56,1)),SUMIF(N20:N75,"x",OFFSET($B$20,0,6,56,1)))</f>
        <v>0.748</v>
      </c>
      <c r="O17" s="38">
        <f t="shared" ca="1" si="15"/>
        <v>0.67599999999999993</v>
      </c>
      <c r="P17" s="38">
        <f t="shared" ca="1" si="15"/>
        <v>0.748</v>
      </c>
      <c r="Q17" s="38">
        <f t="shared" ref="Q17:S17" ca="1" si="16">IF(Q19&lt;&gt;"",SUMIF(Q20:Q75,"x",OFFSET($B$20,0,3,56,1)),SUMIF(Q20:Q75,"x",OFFSET($B$20,0,6,56,1)))</f>
        <v>0.94600000000000006</v>
      </c>
      <c r="R17" s="38">
        <f t="shared" ca="1" si="16"/>
        <v>0.94600000000000006</v>
      </c>
      <c r="S17" s="38">
        <f t="shared" ca="1" si="16"/>
        <v>0.60499999999999998</v>
      </c>
      <c r="T17" s="39">
        <f t="shared" ref="T17:X17" ca="1" si="17">IF(T19&lt;&gt;"",SUMIF(T20:T75,"x",OFFSET($B$20,0,3,56,1)),SUMIF(T20:T75,"x",OFFSET($B$20,0,6,56,1)))</f>
        <v>0.54</v>
      </c>
      <c r="U17" s="38">
        <f t="shared" ca="1" si="17"/>
        <v>0.55800000000000005</v>
      </c>
      <c r="V17" s="45">
        <f t="shared" ca="1" si="17"/>
        <v>0.61099999999999999</v>
      </c>
      <c r="W17" s="39">
        <f t="shared" ca="1" si="17"/>
        <v>0.67500000000000004</v>
      </c>
      <c r="X17" s="38">
        <f t="shared" ca="1" si="17"/>
        <v>0.94600000000000006</v>
      </c>
    </row>
    <row r="18" spans="1:25" s="3" customFormat="1" ht="15.6" x14ac:dyDescent="0.25">
      <c r="A18" s="2"/>
      <c r="C18" s="7"/>
      <c r="D18" s="7"/>
      <c r="E18" s="7"/>
      <c r="F18" s="7"/>
      <c r="G18" s="7"/>
      <c r="H18" s="7"/>
      <c r="I18" s="7"/>
      <c r="J18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6"/>
      <c r="W18" s="40"/>
      <c r="X18" s="40"/>
    </row>
    <row r="19" spans="1:25" ht="14.4" customHeight="1" x14ac:dyDescent="0.25">
      <c r="A19" s="32" t="s">
        <v>59</v>
      </c>
      <c r="B19" s="27"/>
      <c r="C19" s="4" t="s">
        <v>0</v>
      </c>
      <c r="D19" s="4" t="s">
        <v>1</v>
      </c>
      <c r="E19" s="4" t="s">
        <v>2</v>
      </c>
      <c r="F19" s="10" t="s">
        <v>3</v>
      </c>
      <c r="G19" s="4" t="s">
        <v>4</v>
      </c>
      <c r="H19" s="4" t="s">
        <v>5</v>
      </c>
      <c r="I19" s="23"/>
      <c r="J19" s="37" t="s">
        <v>67</v>
      </c>
      <c r="K19" s="37"/>
      <c r="L19" s="37"/>
      <c r="M19" s="37"/>
      <c r="N19" s="37"/>
      <c r="O19" s="37"/>
      <c r="P19" s="37"/>
      <c r="Q19" s="37" t="s">
        <v>59</v>
      </c>
      <c r="R19" s="37" t="s">
        <v>59</v>
      </c>
      <c r="S19" s="37"/>
      <c r="T19" s="37"/>
      <c r="U19" s="37"/>
      <c r="V19" s="47"/>
      <c r="W19" s="41" t="s">
        <v>59</v>
      </c>
      <c r="X19" s="41" t="s">
        <v>59</v>
      </c>
      <c r="Y19" s="32">
        <f t="shared" ref="Y19:Y50" si="18">COUNTIF(K19:X19,"x")</f>
        <v>4</v>
      </c>
    </row>
    <row r="20" spans="1:25" x14ac:dyDescent="0.25">
      <c r="A20" s="32" t="s">
        <v>59</v>
      </c>
      <c r="B20" s="27" t="s">
        <v>6</v>
      </c>
      <c r="C20" s="6">
        <v>0.39500000000000002</v>
      </c>
      <c r="D20" s="6">
        <v>0.45300000000000001</v>
      </c>
      <c r="E20" s="5">
        <v>0.41299999999999998</v>
      </c>
      <c r="F20" s="11">
        <v>0.23200000000000001</v>
      </c>
      <c r="G20" s="6">
        <v>0.25600000000000001</v>
      </c>
      <c r="H20" s="5">
        <v>0.23599999999999999</v>
      </c>
      <c r="I20" s="24"/>
      <c r="J20" s="42" t="str">
        <f>B20</f>
        <v>Supply System Base Allowance for AHU Serving Spaces &lt; 6 Floors Away.</v>
      </c>
      <c r="K20" s="37" t="s">
        <v>59</v>
      </c>
      <c r="L20" s="37" t="s">
        <v>59</v>
      </c>
      <c r="M20" s="37" t="s">
        <v>59</v>
      </c>
      <c r="N20" s="37" t="s">
        <v>59</v>
      </c>
      <c r="O20" s="37" t="s">
        <v>59</v>
      </c>
      <c r="P20" s="37" t="s">
        <v>59</v>
      </c>
      <c r="Q20" s="37" t="s">
        <v>59</v>
      </c>
      <c r="R20" s="37" t="s">
        <v>59</v>
      </c>
      <c r="S20" s="37" t="s">
        <v>59</v>
      </c>
      <c r="T20" s="41" t="s">
        <v>59</v>
      </c>
      <c r="U20" s="41" t="s">
        <v>59</v>
      </c>
      <c r="V20" s="48" t="s">
        <v>59</v>
      </c>
      <c r="W20" s="41" t="s">
        <v>59</v>
      </c>
      <c r="X20" s="41" t="s">
        <v>59</v>
      </c>
      <c r="Y20" s="32">
        <f t="shared" si="18"/>
        <v>14</v>
      </c>
    </row>
    <row r="21" spans="1:25" hidden="1" x14ac:dyDescent="0.25">
      <c r="A21" s="32" t="s">
        <v>59</v>
      </c>
      <c r="B21" s="27" t="s">
        <v>7</v>
      </c>
      <c r="C21" s="6">
        <v>0.50800000000000001</v>
      </c>
      <c r="D21" s="6">
        <v>0.54800000000000004</v>
      </c>
      <c r="E21" s="5">
        <v>0.501</v>
      </c>
      <c r="F21" s="12">
        <v>0.34899999999999998</v>
      </c>
      <c r="G21" s="6">
        <v>0.35599999999999998</v>
      </c>
      <c r="H21" s="5">
        <v>0.32500000000000001</v>
      </c>
      <c r="I21" s="24"/>
      <c r="J21" s="42" t="str">
        <f t="shared" ref="J21:J75" si="19">B21</f>
        <v>Supply System Base
Allowance for AHU Serving Spaces &gt; 6 Floors Away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48"/>
      <c r="W21" s="37"/>
      <c r="X21" s="37"/>
      <c r="Y21">
        <f t="shared" si="18"/>
        <v>0</v>
      </c>
    </row>
    <row r="22" spans="1:25" x14ac:dyDescent="0.25">
      <c r="A22" s="32" t="s">
        <v>59</v>
      </c>
      <c r="B22" s="27" t="s">
        <v>8</v>
      </c>
      <c r="C22" s="6">
        <v>0.13600000000000001</v>
      </c>
      <c r="D22" s="6">
        <v>0.114</v>
      </c>
      <c r="E22" s="5">
        <v>0.105</v>
      </c>
      <c r="F22" s="11">
        <v>0.13900000000000001</v>
      </c>
      <c r="G22" s="6">
        <v>0.12</v>
      </c>
      <c r="H22" s="5">
        <v>0.107</v>
      </c>
      <c r="I22" s="24"/>
      <c r="J22" s="42" t="str">
        <f t="shared" si="19"/>
        <v>MERV 13 to MERV 16 Filter
Upstream of Thermal Conditioning Equipment (two times the clean filter pressure dropmid-life)2</v>
      </c>
      <c r="K22" s="37" t="s">
        <v>59</v>
      </c>
      <c r="L22" s="37" t="s">
        <v>59</v>
      </c>
      <c r="M22" s="37" t="s">
        <v>59</v>
      </c>
      <c r="N22" s="37" t="s">
        <v>59</v>
      </c>
      <c r="O22" s="37" t="s">
        <v>59</v>
      </c>
      <c r="P22" s="37" t="s">
        <v>59</v>
      </c>
      <c r="Q22" s="37" t="s">
        <v>59</v>
      </c>
      <c r="R22" s="37" t="s">
        <v>59</v>
      </c>
      <c r="S22" s="37" t="s">
        <v>59</v>
      </c>
      <c r="T22" s="41" t="s">
        <v>59</v>
      </c>
      <c r="U22" s="41" t="s">
        <v>59</v>
      </c>
      <c r="V22" s="48" t="s">
        <v>59</v>
      </c>
      <c r="W22" s="41" t="s">
        <v>59</v>
      </c>
      <c r="X22" s="41" t="s">
        <v>59</v>
      </c>
      <c r="Y22" s="32">
        <f t="shared" si="18"/>
        <v>14</v>
      </c>
    </row>
    <row r="23" spans="1:25" hidden="1" x14ac:dyDescent="0.25">
      <c r="A23" s="32" t="s">
        <v>59</v>
      </c>
      <c r="B23" s="27" t="s">
        <v>9</v>
      </c>
      <c r="C23" s="6">
        <v>0.22500000000000001</v>
      </c>
      <c r="D23" s="6">
        <v>0.188</v>
      </c>
      <c r="E23" s="5">
        <v>0.17599999999999999</v>
      </c>
      <c r="F23" s="13">
        <v>0.23100000000000001</v>
      </c>
      <c r="G23" s="6">
        <v>0.19700000000000001</v>
      </c>
      <c r="H23" s="5">
        <v>0.17699999999999999</v>
      </c>
      <c r="I23" s="24"/>
      <c r="J23" s="42" t="str">
        <f t="shared" si="19"/>
        <v>MERV 13 to MERV 16 Final Filter Downstream of Thermal Conditioning Equipment. (two times the clean filter pressure dropmid-life) 2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48"/>
      <c r="W23" s="37"/>
      <c r="X23" s="37"/>
      <c r="Y23">
        <f t="shared" si="18"/>
        <v>0</v>
      </c>
    </row>
    <row r="24" spans="1:25" hidden="1" x14ac:dyDescent="0.25">
      <c r="A24" s="32" t="s">
        <v>59</v>
      </c>
      <c r="B24" s="27" t="s">
        <v>10</v>
      </c>
      <c r="C24" s="6">
        <v>0.33500000000000002</v>
      </c>
      <c r="D24" s="6">
        <v>0.28000000000000003</v>
      </c>
      <c r="E24" s="5">
        <v>0.26500000000000001</v>
      </c>
      <c r="F24" s="13">
        <v>0.34200000000000003</v>
      </c>
      <c r="G24" s="6">
        <v>0.29199999999999998</v>
      </c>
      <c r="H24" s="5">
        <v>0.26400000000000001</v>
      </c>
      <c r="I24" s="24"/>
      <c r="J24" s="42" t="str">
        <f t="shared" si="19"/>
        <v>Filtration Allowance for &gt; Merv 16 or HEPA Filter (two times the clean filter pressure dropmid-life) 2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48"/>
      <c r="W24" s="37"/>
      <c r="X24" s="37"/>
      <c r="Y24">
        <f t="shared" si="18"/>
        <v>0</v>
      </c>
    </row>
    <row r="25" spans="1:25" x14ac:dyDescent="0.25">
      <c r="A25" s="32" t="s">
        <v>59</v>
      </c>
      <c r="B25" s="27" t="s">
        <v>11</v>
      </c>
      <c r="C25" s="6">
        <v>4.5999999999999999E-2</v>
      </c>
      <c r="D25" s="6">
        <v>4.8000000000000001E-2</v>
      </c>
      <c r="E25" s="5">
        <v>5.1999999999999998E-2</v>
      </c>
      <c r="F25" s="12">
        <v>4.5999999999999999E-2</v>
      </c>
      <c r="G25" s="6">
        <v>0.05</v>
      </c>
      <c r="H25" s="5">
        <v>5.3999999999999999E-2</v>
      </c>
      <c r="I25" s="24"/>
      <c r="J25" s="42" t="str">
        <f t="shared" si="19"/>
        <v>Central Hydronic Heating Coil Allowance</v>
      </c>
      <c r="K25" s="37"/>
      <c r="L25" s="37"/>
      <c r="M25" s="37"/>
      <c r="N25" s="37"/>
      <c r="O25" s="37"/>
      <c r="P25" s="37"/>
      <c r="Q25" s="37" t="s">
        <v>59</v>
      </c>
      <c r="R25" s="37" t="s">
        <v>59</v>
      </c>
      <c r="S25" s="37"/>
      <c r="T25" s="41" t="s">
        <v>59</v>
      </c>
      <c r="U25" s="37"/>
      <c r="V25" s="48" t="s">
        <v>59</v>
      </c>
      <c r="W25" s="41" t="s">
        <v>59</v>
      </c>
      <c r="X25" s="41" t="s">
        <v>59</v>
      </c>
      <c r="Y25" s="32">
        <f t="shared" si="18"/>
        <v>6</v>
      </c>
    </row>
    <row r="26" spans="1:25" x14ac:dyDescent="0.25">
      <c r="A26" s="32" t="s">
        <v>59</v>
      </c>
      <c r="B26" s="28" t="s">
        <v>12</v>
      </c>
      <c r="C26" s="6">
        <v>4.5999999999999999E-2</v>
      </c>
      <c r="D26" s="6">
        <v>3.7999999999999999E-2</v>
      </c>
      <c r="E26" s="5">
        <v>3.5000000000000003E-2</v>
      </c>
      <c r="F26" s="12">
        <v>4.5999999999999999E-2</v>
      </c>
      <c r="G26" s="6">
        <v>0.04</v>
      </c>
      <c r="H26" s="5">
        <v>3.5999999999999997E-2</v>
      </c>
      <c r="I26" s="24"/>
      <c r="J26" s="42" t="str">
        <f t="shared" si="19"/>
        <v>Electric Heat Allowance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47"/>
      <c r="W26" s="37"/>
      <c r="X26" s="37"/>
      <c r="Y26" s="32">
        <f>COUNTIF(K26:X26,"x")+1</f>
        <v>1</v>
      </c>
    </row>
    <row r="27" spans="1:25" x14ac:dyDescent="0.25">
      <c r="A27" s="32" t="s">
        <v>59</v>
      </c>
      <c r="B27" s="28" t="s">
        <v>13</v>
      </c>
      <c r="C27" s="6">
        <v>6.9000000000000006E-2</v>
      </c>
      <c r="D27" s="6">
        <v>5.7000000000000002E-2</v>
      </c>
      <c r="E27" s="5">
        <v>7.0000000000000007E-2</v>
      </c>
      <c r="F27" s="12">
        <v>5.8000000000000003E-2</v>
      </c>
      <c r="G27" s="6">
        <v>0.06</v>
      </c>
      <c r="H27" s="5">
        <v>7.1999999999999995E-2</v>
      </c>
      <c r="I27" s="24"/>
      <c r="J27" s="42" t="str">
        <f t="shared" si="19"/>
        <v>Gas Heat Allowance</v>
      </c>
      <c r="K27" s="37" t="s">
        <v>59</v>
      </c>
      <c r="L27" s="37"/>
      <c r="M27" s="37" t="s">
        <v>59</v>
      </c>
      <c r="N27" s="37" t="s">
        <v>59</v>
      </c>
      <c r="O27" s="37"/>
      <c r="P27" s="37" t="s">
        <v>59</v>
      </c>
      <c r="Q27" s="37"/>
      <c r="R27" s="37"/>
      <c r="S27" s="37" t="s">
        <v>59</v>
      </c>
      <c r="T27" s="37"/>
      <c r="U27" s="41" t="s">
        <v>59</v>
      </c>
      <c r="V27" s="47"/>
      <c r="W27" s="37"/>
      <c r="X27" s="37"/>
      <c r="Y27" s="32">
        <f t="shared" si="18"/>
        <v>6</v>
      </c>
    </row>
    <row r="28" spans="1:25" x14ac:dyDescent="0.25">
      <c r="A28" s="32" t="s">
        <v>59</v>
      </c>
      <c r="B28" s="27" t="s">
        <v>14</v>
      </c>
      <c r="C28" s="6">
        <v>0.13500000000000001</v>
      </c>
      <c r="D28" s="6">
        <v>0.114</v>
      </c>
      <c r="E28" s="5">
        <v>0.105</v>
      </c>
      <c r="F28" s="12">
        <v>0.13900000000000001</v>
      </c>
      <c r="G28" s="6">
        <v>0.12</v>
      </c>
      <c r="H28" s="5">
        <v>0.107</v>
      </c>
      <c r="I28" s="24"/>
      <c r="J28" s="42" t="str">
        <f t="shared" si="19"/>
        <v>Hydronic/DX Cooling Coil, or Heat Pump Coil (wet) Allowance</v>
      </c>
      <c r="K28" s="37" t="s">
        <v>59</v>
      </c>
      <c r="L28" s="37" t="s">
        <v>59</v>
      </c>
      <c r="M28" s="37" t="s">
        <v>59</v>
      </c>
      <c r="N28" s="37" t="s">
        <v>59</v>
      </c>
      <c r="O28" s="37" t="s">
        <v>59</v>
      </c>
      <c r="P28" s="37" t="s">
        <v>59</v>
      </c>
      <c r="Q28" s="37" t="s">
        <v>59</v>
      </c>
      <c r="R28" s="37" t="s">
        <v>59</v>
      </c>
      <c r="S28" s="37"/>
      <c r="T28" s="41" t="s">
        <v>59</v>
      </c>
      <c r="U28" s="41" t="s">
        <v>59</v>
      </c>
      <c r="V28" s="47" t="s">
        <v>59</v>
      </c>
      <c r="W28" s="41" t="s">
        <v>59</v>
      </c>
      <c r="X28" s="41" t="s">
        <v>59</v>
      </c>
      <c r="Y28" s="32">
        <f t="shared" si="18"/>
        <v>13</v>
      </c>
    </row>
    <row r="29" spans="1:25" hidden="1" x14ac:dyDescent="0.25">
      <c r="A29" s="32" t="s">
        <v>59</v>
      </c>
      <c r="B29" s="27" t="s">
        <v>15</v>
      </c>
      <c r="C29" s="6">
        <v>0.157</v>
      </c>
      <c r="D29" s="6">
        <v>0.13200000000000001</v>
      </c>
      <c r="E29" s="5">
        <v>0.123</v>
      </c>
      <c r="F29" s="12">
        <v>0.16300000000000001</v>
      </c>
      <c r="G29" s="6">
        <v>0.13900000000000001</v>
      </c>
      <c r="H29" s="5">
        <v>0.124</v>
      </c>
      <c r="I29" s="24"/>
      <c r="J29" s="42" t="str">
        <f t="shared" si="19"/>
        <v>Solid or Liquid Desiccant
System Allowance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47"/>
      <c r="W29" s="37"/>
      <c r="X29" s="37"/>
      <c r="Y29">
        <f t="shared" si="18"/>
        <v>0</v>
      </c>
    </row>
    <row r="30" spans="1:25" hidden="1" x14ac:dyDescent="0.25">
      <c r="A30" s="32" t="s">
        <v>59</v>
      </c>
      <c r="B30" s="27" t="s">
        <v>16</v>
      </c>
      <c r="C30" s="6">
        <v>4.4999999999999998E-2</v>
      </c>
      <c r="D30" s="6">
        <v>3.7999999999999999E-2</v>
      </c>
      <c r="E30" s="5">
        <v>3.5000000000000003E-2</v>
      </c>
      <c r="F30" s="12">
        <v>4.5999999999999999E-2</v>
      </c>
      <c r="G30" s="6">
        <v>0.04</v>
      </c>
      <c r="H30" s="5">
        <v>3.5999999999999997E-2</v>
      </c>
      <c r="I30" s="24"/>
      <c r="J30" s="42" t="str">
        <f t="shared" si="19"/>
        <v>Reheat Coil for Dehumidification Allowance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47"/>
      <c r="W30" s="37"/>
      <c r="X30" s="37"/>
      <c r="Y30">
        <f t="shared" si="18"/>
        <v>0</v>
      </c>
    </row>
    <row r="31" spans="1:25" hidden="1" x14ac:dyDescent="0.25">
      <c r="A31" s="32" t="s">
        <v>59</v>
      </c>
      <c r="B31" s="27" t="s">
        <v>17</v>
      </c>
      <c r="C31" s="6">
        <v>0.224</v>
      </c>
      <c r="D31" s="6">
        <v>0.188</v>
      </c>
      <c r="E31" s="5">
        <v>0.17599999999999999</v>
      </c>
      <c r="F31" s="12">
        <v>0.23100000000000001</v>
      </c>
      <c r="G31" s="6">
        <v>0.19700000000000001</v>
      </c>
      <c r="H31" s="5">
        <v>0.17699999999999999</v>
      </c>
      <c r="I31" s="24"/>
      <c r="J31" s="42" t="str">
        <f t="shared" si="19"/>
        <v>Allowance for evaporative humidifier/cooler in series with a cooling coil. Value shown is allowed watts/cfm per 1.0 in. wg.  Determine pressure loss (in. wg) at 400 fpm or maximum velocity allowed by the manufacturer, whichever is less. [Calculation required, see note 4]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47"/>
      <c r="W31" s="37"/>
      <c r="X31" s="37"/>
      <c r="Y31">
        <f t="shared" si="18"/>
        <v>0</v>
      </c>
    </row>
    <row r="32" spans="1:25" x14ac:dyDescent="0.25">
      <c r="A32" s="32" t="s">
        <v>59</v>
      </c>
      <c r="B32" s="27" t="s">
        <v>18</v>
      </c>
      <c r="C32" s="5">
        <v>0</v>
      </c>
      <c r="D32" s="5">
        <v>0</v>
      </c>
      <c r="E32" s="5">
        <v>0</v>
      </c>
      <c r="F32" s="11">
        <v>7.0000000000000007E-2</v>
      </c>
      <c r="G32" s="6">
        <v>0.1</v>
      </c>
      <c r="H32" s="5">
        <v>0.107</v>
      </c>
      <c r="I32" s="24"/>
      <c r="J32" s="42" t="str">
        <f t="shared" si="19"/>
        <v>Allowance for 100% outdoor
air system meeting the requirements of Note 5.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47" t="s">
        <v>59</v>
      </c>
      <c r="W32" s="37" t="s">
        <v>59</v>
      </c>
      <c r="X32" s="37"/>
      <c r="Y32" s="32">
        <f t="shared" si="18"/>
        <v>2</v>
      </c>
    </row>
    <row r="33" spans="1:25" hidden="1" x14ac:dyDescent="0.25">
      <c r="A33" s="32" t="s">
        <v>59</v>
      </c>
      <c r="B33" s="33" t="s">
        <v>74</v>
      </c>
      <c r="C33" s="6">
        <v>0.13500000000000001</v>
      </c>
      <c r="D33" s="6">
        <v>0.114</v>
      </c>
      <c r="E33" s="5">
        <v>0.105</v>
      </c>
      <c r="F33" s="12">
        <v>0.13900000000000001</v>
      </c>
      <c r="G33" s="6">
        <v>0.12</v>
      </c>
      <c r="H33" s="5">
        <v>0.107</v>
      </c>
      <c r="I33" s="24"/>
      <c r="J33" s="42" t="str">
        <f t="shared" si="19"/>
        <v>Energy Recovery Allowance for 0.50 ≤ ERR &lt;0.55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47"/>
      <c r="W33" s="37"/>
      <c r="X33" s="37"/>
      <c r="Y33">
        <f t="shared" si="18"/>
        <v>0</v>
      </c>
    </row>
    <row r="34" spans="1:25" hidden="1" x14ac:dyDescent="0.25">
      <c r="A34" s="32" t="s">
        <v>59</v>
      </c>
      <c r="B34" s="34" t="s">
        <v>75</v>
      </c>
      <c r="C34" s="19">
        <v>0.16</v>
      </c>
      <c r="D34" s="19">
        <v>0.13400000000000001</v>
      </c>
      <c r="E34" s="20">
        <v>0.124</v>
      </c>
      <c r="F34" s="9">
        <v>0.16500000000000001</v>
      </c>
      <c r="G34" s="19">
        <v>0.14099999999999999</v>
      </c>
      <c r="H34" s="20">
        <v>0.126</v>
      </c>
      <c r="I34" s="24"/>
      <c r="J34" s="42" t="str">
        <f t="shared" si="19"/>
        <v>Energy Recovery Allowance for 0.55 ≤ ERR &lt;0.60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47"/>
      <c r="W34" s="37"/>
      <c r="X34" s="37"/>
      <c r="Y34">
        <f t="shared" si="18"/>
        <v>0</v>
      </c>
    </row>
    <row r="35" spans="1:25" x14ac:dyDescent="0.25">
      <c r="A35" s="32" t="s">
        <v>59</v>
      </c>
      <c r="B35" s="33" t="s">
        <v>76</v>
      </c>
      <c r="C35" s="6">
        <v>0.184</v>
      </c>
      <c r="D35" s="6">
        <v>0.155</v>
      </c>
      <c r="E35" s="5">
        <v>0.14399999999999999</v>
      </c>
      <c r="F35" s="18">
        <v>0.19</v>
      </c>
      <c r="G35" s="6">
        <v>0.16300000000000001</v>
      </c>
      <c r="H35" s="5">
        <v>0.14599999999999999</v>
      </c>
      <c r="I35" s="24"/>
      <c r="J35" s="42" t="str">
        <f t="shared" si="19"/>
        <v>Energy Recovery Allowance for 0.60 ≤ ERR &lt;0.65</v>
      </c>
      <c r="K35" s="43"/>
      <c r="L35" s="43"/>
      <c r="M35" s="43"/>
      <c r="N35" s="43"/>
      <c r="O35" s="43"/>
      <c r="P35" s="43"/>
      <c r="Q35" s="43"/>
      <c r="R35" s="43"/>
      <c r="S35" s="43"/>
      <c r="T35" s="37"/>
      <c r="U35" s="37"/>
      <c r="V35" s="47"/>
      <c r="W35" s="37"/>
      <c r="X35" s="43"/>
      <c r="Y35" s="32">
        <f>COUNTIF(K35:X35,"x")+1</f>
        <v>1</v>
      </c>
    </row>
    <row r="36" spans="1:25" hidden="1" x14ac:dyDescent="0.25">
      <c r="A36" s="32" t="s">
        <v>59</v>
      </c>
      <c r="B36" s="33" t="s">
        <v>77</v>
      </c>
      <c r="C36" s="6">
        <v>0.20799999999999999</v>
      </c>
      <c r="D36" s="6">
        <v>0.17499999999999999</v>
      </c>
      <c r="E36" s="5">
        <v>0.16300000000000001</v>
      </c>
      <c r="F36" s="12">
        <v>0.215</v>
      </c>
      <c r="G36" s="6">
        <v>0.184</v>
      </c>
      <c r="H36" s="5">
        <v>0.16500000000000001</v>
      </c>
      <c r="I36" s="24"/>
      <c r="J36" s="42" t="str">
        <f t="shared" si="19"/>
        <v>Energy Recovery Allowance for 0.65 ≤ ERR &lt;0.70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47"/>
      <c r="W36" s="37"/>
      <c r="X36" s="37"/>
      <c r="Y36">
        <f t="shared" si="18"/>
        <v>0</v>
      </c>
    </row>
    <row r="37" spans="1:25" hidden="1" x14ac:dyDescent="0.25">
      <c r="A37" s="32" t="s">
        <v>59</v>
      </c>
      <c r="B37" s="33" t="s">
        <v>78</v>
      </c>
      <c r="C37" s="6">
        <v>0.23200000000000001</v>
      </c>
      <c r="D37" s="6">
        <v>0.19600000000000001</v>
      </c>
      <c r="E37" s="5">
        <v>0.183</v>
      </c>
      <c r="F37" s="12">
        <v>0.24</v>
      </c>
      <c r="G37" s="6">
        <v>0.20499999999999999</v>
      </c>
      <c r="H37" s="5">
        <v>0.184</v>
      </c>
      <c r="I37" s="24"/>
      <c r="J37" s="42" t="str">
        <f t="shared" si="19"/>
        <v>Energy Recovery Allowance for 0.70 ≤ ERR &lt;0.75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47"/>
      <c r="W37" s="37"/>
      <c r="X37" s="37"/>
      <c r="Y37">
        <f t="shared" si="18"/>
        <v>0</v>
      </c>
    </row>
    <row r="38" spans="1:25" hidden="1" x14ac:dyDescent="0.25">
      <c r="A38" s="32" t="s">
        <v>59</v>
      </c>
      <c r="B38" s="33" t="s">
        <v>79</v>
      </c>
      <c r="C38" s="6">
        <v>0.25700000000000001</v>
      </c>
      <c r="D38" s="6">
        <v>0.216</v>
      </c>
      <c r="E38" s="5">
        <v>0.20200000000000001</v>
      </c>
      <c r="F38" s="12">
        <v>0.26400000000000001</v>
      </c>
      <c r="G38" s="6">
        <v>0.22600000000000001</v>
      </c>
      <c r="H38" s="5">
        <v>0.20300000000000001</v>
      </c>
      <c r="I38" s="24"/>
      <c r="J38" s="42" t="str">
        <f t="shared" si="19"/>
        <v>Energy Recovery Allowance for 0.75 ≤ ERR &lt;0.80</v>
      </c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47"/>
      <c r="W38" s="37"/>
      <c r="X38" s="37"/>
      <c r="Y38">
        <f t="shared" si="18"/>
        <v>0</v>
      </c>
    </row>
    <row r="39" spans="1:25" hidden="1" x14ac:dyDescent="0.25">
      <c r="A39" s="32" t="s">
        <v>59</v>
      </c>
      <c r="B39" s="33" t="s">
        <v>80</v>
      </c>
      <c r="C39" s="6">
        <v>0.28100000000000003</v>
      </c>
      <c r="D39" s="6">
        <v>0.23599999999999999</v>
      </c>
      <c r="E39" s="5">
        <v>0.222</v>
      </c>
      <c r="F39" s="12">
        <v>0.28899999999999998</v>
      </c>
      <c r="G39" s="6">
        <v>0.247</v>
      </c>
      <c r="H39" s="5">
        <v>0.222</v>
      </c>
      <c r="I39" s="24"/>
      <c r="J39" s="42" t="str">
        <f t="shared" si="19"/>
        <v>Energy Recovery Allowance for ERR ≥ 0.80</v>
      </c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47"/>
      <c r="W39" s="37"/>
      <c r="X39" s="37"/>
      <c r="Y39">
        <f t="shared" si="18"/>
        <v>0</v>
      </c>
    </row>
    <row r="40" spans="1:25" x14ac:dyDescent="0.25">
      <c r="A40" s="32" t="s">
        <v>59</v>
      </c>
      <c r="B40" s="29" t="s">
        <v>50</v>
      </c>
      <c r="C40" s="6">
        <v>0.13500000000000001</v>
      </c>
      <c r="D40" s="6">
        <v>0.114</v>
      </c>
      <c r="E40" s="5">
        <v>0.105</v>
      </c>
      <c r="F40" s="12">
        <v>0.13900000000000001</v>
      </c>
      <c r="G40" s="6">
        <v>0.12</v>
      </c>
      <c r="H40" s="5">
        <v>0.107</v>
      </c>
      <c r="I40" s="24"/>
      <c r="J40" s="42" t="str">
        <f t="shared" si="19"/>
        <v>Coil Runaround Loop</v>
      </c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49"/>
      <c r="W40" s="43"/>
      <c r="X40" s="37"/>
      <c r="Y40" s="32">
        <f>COUNTIF(K40:X40,"x")+1</f>
        <v>1</v>
      </c>
    </row>
    <row r="41" spans="1:25" hidden="1" x14ac:dyDescent="0.25">
      <c r="A41" s="32" t="s">
        <v>59</v>
      </c>
      <c r="B41" s="27" t="s">
        <v>19</v>
      </c>
      <c r="C41" s="6">
        <v>0.224</v>
      </c>
      <c r="D41" s="6">
        <v>0.188</v>
      </c>
      <c r="E41" s="5">
        <v>0.17599999999999999</v>
      </c>
      <c r="F41" s="12">
        <v>0.23100000000000001</v>
      </c>
      <c r="G41" s="6">
        <v>0.19700000000000001</v>
      </c>
      <c r="H41" s="5">
        <v>0.17699999999999999</v>
      </c>
      <c r="I41" s="24"/>
      <c r="J41" s="42" t="str">
        <f t="shared" si="19"/>
        <v>Allowance for gas phase filtration
required by code or accredited standard. Value shown is allowed w/cfm per 1.0 in. wg air pressure drop. [Calculation required, see note 4]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47"/>
      <c r="W41" s="37"/>
      <c r="X41" s="37"/>
      <c r="Y41">
        <f t="shared" si="18"/>
        <v>0</v>
      </c>
    </row>
    <row r="42" spans="1:25" x14ac:dyDescent="0.25">
      <c r="A42" s="32" t="s">
        <v>59</v>
      </c>
      <c r="B42" s="29" t="s">
        <v>20</v>
      </c>
      <c r="C42" s="6">
        <v>4.4999999999999998E-2</v>
      </c>
      <c r="D42" s="6">
        <v>3.7999999999999999E-2</v>
      </c>
      <c r="E42" s="6">
        <v>3.5000000000000003E-2</v>
      </c>
      <c r="F42" s="12">
        <v>4.5999999999999999E-2</v>
      </c>
      <c r="G42" s="6">
        <v>0.04</v>
      </c>
      <c r="H42" s="6">
        <v>3.5999999999999997E-2</v>
      </c>
      <c r="I42" s="25"/>
      <c r="J42" s="42" t="str">
        <f t="shared" si="19"/>
        <v>Economizer Return Damper</v>
      </c>
      <c r="K42" s="37" t="s">
        <v>59</v>
      </c>
      <c r="L42" s="37" t="s">
        <v>59</v>
      </c>
      <c r="M42" s="37" t="s">
        <v>59</v>
      </c>
      <c r="N42" s="37" t="s">
        <v>59</v>
      </c>
      <c r="O42" s="37" t="s">
        <v>59</v>
      </c>
      <c r="P42" s="37" t="s">
        <v>59</v>
      </c>
      <c r="Q42" s="37" t="s">
        <v>59</v>
      </c>
      <c r="R42" s="37" t="s">
        <v>59</v>
      </c>
      <c r="S42" s="37"/>
      <c r="T42" s="41" t="s">
        <v>59</v>
      </c>
      <c r="U42" s="41" t="s">
        <v>59</v>
      </c>
      <c r="V42" s="47"/>
      <c r="W42" s="41"/>
      <c r="X42" s="41" t="s">
        <v>59</v>
      </c>
      <c r="Y42" s="32">
        <f t="shared" si="18"/>
        <v>11</v>
      </c>
    </row>
    <row r="43" spans="1:25" hidden="1" x14ac:dyDescent="0.25">
      <c r="A43" s="32" t="s">
        <v>59</v>
      </c>
      <c r="B43" s="28" t="s">
        <v>21</v>
      </c>
      <c r="C43" s="6">
        <v>4.4999999999999998E-2</v>
      </c>
      <c r="D43" s="6">
        <v>3.7999999999999999E-2</v>
      </c>
      <c r="E43" s="5">
        <v>3.5000000000000003E-2</v>
      </c>
      <c r="F43" s="12">
        <v>4.5999999999999999E-2</v>
      </c>
      <c r="G43" s="6">
        <v>0.04</v>
      </c>
      <c r="H43" s="5">
        <v>3.5999999999999997E-2</v>
      </c>
      <c r="I43" s="24"/>
      <c r="J43" s="42" t="str">
        <f t="shared" si="19"/>
        <v>Air Blender Allowance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47"/>
      <c r="W43" s="37"/>
      <c r="X43" s="37"/>
      <c r="Y43">
        <f t="shared" si="18"/>
        <v>0</v>
      </c>
    </row>
    <row r="44" spans="1:25" hidden="1" x14ac:dyDescent="0.25">
      <c r="A44" s="32" t="s">
        <v>59</v>
      </c>
      <c r="B44" s="27" t="s">
        <v>22</v>
      </c>
      <c r="C44" s="6">
        <v>3.4000000000000002E-2</v>
      </c>
      <c r="D44" s="6">
        <v>2.9000000000000001E-2</v>
      </c>
      <c r="E44" s="5">
        <v>2.5999999999999999E-2</v>
      </c>
      <c r="F44" s="12">
        <v>3.5000000000000003E-2</v>
      </c>
      <c r="G44" s="6">
        <v>0.03</v>
      </c>
      <c r="H44" s="5">
        <v>2.7E-2</v>
      </c>
      <c r="I44" s="24"/>
      <c r="J44" s="42" t="str">
        <f t="shared" si="19"/>
        <v>Allowance for sound attenuation section [fans serving spaces with design background noise goals below NC35].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47"/>
      <c r="W44" s="37"/>
      <c r="X44" s="37"/>
      <c r="Y44">
        <f t="shared" si="18"/>
        <v>0</v>
      </c>
    </row>
    <row r="45" spans="1:25" hidden="1" x14ac:dyDescent="0.25">
      <c r="A45" s="32" t="s">
        <v>59</v>
      </c>
      <c r="B45" s="27" t="s">
        <v>23</v>
      </c>
      <c r="C45" s="6">
        <v>-0.1</v>
      </c>
      <c r="D45" s="6">
        <v>-0.1</v>
      </c>
      <c r="E45" s="5">
        <v>-0.1</v>
      </c>
      <c r="F45" s="12">
        <v>-0.1</v>
      </c>
      <c r="G45" s="6">
        <v>-0.1</v>
      </c>
      <c r="H45" s="5">
        <v>-0.1</v>
      </c>
      <c r="I45" s="24"/>
      <c r="J45" s="42" t="str">
        <f t="shared" si="19"/>
        <v>Deduction for systems that feed a
terminal unit with a fan with electrical input power &lt; 1kW.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47"/>
      <c r="W45" s="37"/>
      <c r="X45" s="37"/>
      <c r="Y45">
        <f t="shared" si="18"/>
        <v>0</v>
      </c>
    </row>
    <row r="46" spans="1:25" hidden="1" x14ac:dyDescent="0.25">
      <c r="A46" s="32" t="s">
        <v>59</v>
      </c>
      <c r="B46" s="27" t="s">
        <v>24</v>
      </c>
      <c r="C46" s="6">
        <v>0</v>
      </c>
      <c r="D46" s="6">
        <v>0</v>
      </c>
      <c r="E46" s="6">
        <v>0</v>
      </c>
      <c r="F46" s="12">
        <v>7.0000000000000007E-2</v>
      </c>
      <c r="G46" s="6">
        <v>0.1</v>
      </c>
      <c r="H46" s="6">
        <v>8.8999999999999996E-2</v>
      </c>
      <c r="I46" s="25"/>
      <c r="J46" s="42" t="str">
        <f t="shared" si="19"/>
        <v>Low-turndown single-zone VAV fan
systems meeting the requirements in note 7.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47"/>
      <c r="W46" s="37"/>
      <c r="X46" s="37"/>
      <c r="Y46">
        <f t="shared" si="18"/>
        <v>0</v>
      </c>
    </row>
    <row r="47" spans="1:25" hidden="1" x14ac:dyDescent="0.25">
      <c r="A47" s="32" t="s">
        <v>59</v>
      </c>
      <c r="B47" t="s">
        <v>25</v>
      </c>
      <c r="J47" s="26" t="s">
        <v>59</v>
      </c>
      <c r="Y47">
        <f t="shared" si="18"/>
        <v>0</v>
      </c>
    </row>
    <row r="48" spans="1:25" hidden="1" x14ac:dyDescent="0.25">
      <c r="A48" s="32" t="s">
        <v>59</v>
      </c>
      <c r="B48" s="21" t="s">
        <v>51</v>
      </c>
      <c r="J48" s="26" t="s">
        <v>59</v>
      </c>
      <c r="Y48">
        <f t="shared" si="18"/>
        <v>0</v>
      </c>
    </row>
    <row r="49" spans="1:25" hidden="1" x14ac:dyDescent="0.25">
      <c r="A49" s="32" t="s">
        <v>59</v>
      </c>
      <c r="B49" s="1" t="s">
        <v>52</v>
      </c>
      <c r="J49" s="26" t="s">
        <v>59</v>
      </c>
      <c r="Y49">
        <f t="shared" si="18"/>
        <v>0</v>
      </c>
    </row>
    <row r="50" spans="1:25" hidden="1" x14ac:dyDescent="0.25">
      <c r="A50" s="32" t="s">
        <v>59</v>
      </c>
      <c r="B50" t="s">
        <v>26</v>
      </c>
      <c r="J50" s="26" t="s">
        <v>59</v>
      </c>
      <c r="Y50">
        <f t="shared" si="18"/>
        <v>0</v>
      </c>
    </row>
    <row r="51" spans="1:25" hidden="1" x14ac:dyDescent="0.25">
      <c r="A51" s="32" t="s">
        <v>59</v>
      </c>
      <c r="B51" t="s">
        <v>27</v>
      </c>
      <c r="J51" s="26" t="s">
        <v>59</v>
      </c>
      <c r="Y51">
        <f t="shared" ref="Y51:Y75" si="20">COUNTIF(K51:X51,"x")</f>
        <v>0</v>
      </c>
    </row>
    <row r="52" spans="1:25" hidden="1" x14ac:dyDescent="0.25">
      <c r="A52" s="32" t="s">
        <v>59</v>
      </c>
      <c r="B52" t="s">
        <v>28</v>
      </c>
      <c r="J52" s="26" t="s">
        <v>59</v>
      </c>
      <c r="Y52">
        <f t="shared" si="20"/>
        <v>0</v>
      </c>
    </row>
    <row r="53" spans="1:25" hidden="1" x14ac:dyDescent="0.25">
      <c r="A53" s="32" t="s">
        <v>59</v>
      </c>
      <c r="B53" t="s">
        <v>29</v>
      </c>
      <c r="J53" s="26" t="s">
        <v>59</v>
      </c>
      <c r="Y53">
        <f t="shared" si="20"/>
        <v>0</v>
      </c>
    </row>
    <row r="54" spans="1:25" hidden="1" x14ac:dyDescent="0.25">
      <c r="A54" s="32" t="s">
        <v>59</v>
      </c>
      <c r="B54" t="s">
        <v>30</v>
      </c>
      <c r="J54" s="26" t="s">
        <v>59</v>
      </c>
      <c r="Y54">
        <f t="shared" si="20"/>
        <v>0</v>
      </c>
    </row>
    <row r="55" spans="1:25" hidden="1" x14ac:dyDescent="0.25">
      <c r="A55" s="32" t="s">
        <v>59</v>
      </c>
      <c r="J55" s="26" t="s">
        <v>59</v>
      </c>
      <c r="Y55">
        <f t="shared" si="20"/>
        <v>0</v>
      </c>
    </row>
    <row r="56" spans="1:25" hidden="1" x14ac:dyDescent="0.25">
      <c r="A56" s="32" t="s">
        <v>59</v>
      </c>
      <c r="J56" s="26" t="s">
        <v>59</v>
      </c>
      <c r="Y56">
        <f t="shared" si="20"/>
        <v>0</v>
      </c>
    </row>
    <row r="57" spans="1:25" s="3" customFormat="1" ht="15.6" hidden="1" x14ac:dyDescent="0.25">
      <c r="A57" s="2" t="s">
        <v>155</v>
      </c>
      <c r="C57" s="7"/>
      <c r="D57" s="7"/>
      <c r="E57" s="7"/>
      <c r="F57" s="7"/>
      <c r="G57" s="7"/>
      <c r="H57" s="7"/>
      <c r="I57" s="7"/>
      <c r="J57" s="26" t="s">
        <v>59</v>
      </c>
      <c r="Y57">
        <f t="shared" si="20"/>
        <v>0</v>
      </c>
    </row>
    <row r="58" spans="1:25" ht="40.799999999999997" hidden="1" x14ac:dyDescent="0.25">
      <c r="A58" s="32" t="s">
        <v>59</v>
      </c>
      <c r="B58" s="27"/>
      <c r="C58" s="4" t="s">
        <v>31</v>
      </c>
      <c r="D58" s="4" t="s">
        <v>32</v>
      </c>
      <c r="E58" s="4" t="s">
        <v>33</v>
      </c>
      <c r="F58" s="14" t="s">
        <v>34</v>
      </c>
      <c r="G58" s="4" t="s">
        <v>35</v>
      </c>
      <c r="H58" s="4" t="s">
        <v>36</v>
      </c>
      <c r="I58" s="23"/>
      <c r="J58" s="26" t="s">
        <v>59</v>
      </c>
      <c r="Y58">
        <f t="shared" si="20"/>
        <v>0</v>
      </c>
    </row>
    <row r="59" spans="1:25" x14ac:dyDescent="0.25">
      <c r="A59" s="32" t="s">
        <v>59</v>
      </c>
      <c r="B59" s="30" t="s">
        <v>37</v>
      </c>
      <c r="C59" s="6">
        <v>0.221</v>
      </c>
      <c r="D59" s="6">
        <v>0.246</v>
      </c>
      <c r="E59" s="5">
        <v>0.23599999999999999</v>
      </c>
      <c r="F59" s="15">
        <v>0.186</v>
      </c>
      <c r="G59" s="6">
        <v>0.184</v>
      </c>
      <c r="H59" s="5">
        <v>0.19</v>
      </c>
      <c r="I59" s="23"/>
      <c r="J59" s="42" t="str">
        <f t="shared" si="19"/>
        <v>Exhaust System Base Allowance</v>
      </c>
      <c r="K59" s="37" t="s">
        <v>59</v>
      </c>
      <c r="L59" s="37" t="s">
        <v>59</v>
      </c>
      <c r="M59" s="37" t="s">
        <v>59</v>
      </c>
      <c r="N59" s="37" t="s">
        <v>59</v>
      </c>
      <c r="O59" s="37" t="s">
        <v>59</v>
      </c>
      <c r="P59" s="37" t="s">
        <v>59</v>
      </c>
      <c r="Q59" s="37" t="s">
        <v>59</v>
      </c>
      <c r="R59" s="37" t="s">
        <v>59</v>
      </c>
      <c r="S59" s="37" t="s">
        <v>59</v>
      </c>
      <c r="T59" s="37"/>
      <c r="U59" s="37"/>
      <c r="V59" s="48"/>
      <c r="W59" s="41"/>
      <c r="X59" s="41" t="s">
        <v>59</v>
      </c>
      <c r="Y59" s="32">
        <f t="shared" si="20"/>
        <v>10</v>
      </c>
    </row>
    <row r="60" spans="1:25" hidden="1" x14ac:dyDescent="0.25">
      <c r="A60" s="32" t="s">
        <v>59</v>
      </c>
      <c r="B60" s="27" t="s">
        <v>38</v>
      </c>
      <c r="C60" s="6">
        <v>4.5999999999999999E-2</v>
      </c>
      <c r="D60" s="6">
        <v>4.1000000000000002E-2</v>
      </c>
      <c r="E60" s="5">
        <v>3.5999999999999997E-2</v>
      </c>
      <c r="F60" s="22">
        <v>4.5999999999999999E-2</v>
      </c>
      <c r="G60" s="6">
        <v>4.1000000000000002E-2</v>
      </c>
      <c r="H60" s="5">
        <v>3.5000000000000003E-2</v>
      </c>
      <c r="I60" s="23"/>
      <c r="J60" s="42" t="str">
        <f t="shared" si="19"/>
        <v>Filter (any MERV value)2</v>
      </c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47"/>
      <c r="W60" s="37"/>
      <c r="X60" s="37"/>
      <c r="Y60">
        <f t="shared" si="20"/>
        <v>0</v>
      </c>
    </row>
    <row r="61" spans="1:25" hidden="1" x14ac:dyDescent="0.25">
      <c r="A61" s="32" t="s">
        <v>59</v>
      </c>
      <c r="B61" s="35" t="s">
        <v>81</v>
      </c>
      <c r="C61" s="19">
        <v>0.13900000000000001</v>
      </c>
      <c r="D61" s="19">
        <v>0.12</v>
      </c>
      <c r="E61" s="20">
        <v>0.107</v>
      </c>
      <c r="F61" s="9">
        <v>0.13900000000000001</v>
      </c>
      <c r="G61" s="19">
        <v>0.123</v>
      </c>
      <c r="H61" s="20">
        <v>0.109</v>
      </c>
      <c r="I61" s="23"/>
      <c r="J61" s="42" t="str">
        <f t="shared" si="19"/>
        <v>Energy Recovery Allowance for 0.50 ≤ ERR &lt;0.55</v>
      </c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47"/>
      <c r="W61" s="37"/>
      <c r="X61" s="37"/>
      <c r="Y61">
        <f t="shared" si="20"/>
        <v>0</v>
      </c>
    </row>
    <row r="62" spans="1:25" hidden="1" x14ac:dyDescent="0.25">
      <c r="A62" s="32" t="s">
        <v>59</v>
      </c>
      <c r="B62" s="28" t="s">
        <v>82</v>
      </c>
      <c r="C62" s="6">
        <v>0.16500000000000001</v>
      </c>
      <c r="D62" s="6">
        <v>0.14199999999999999</v>
      </c>
      <c r="E62" s="5">
        <v>0.126</v>
      </c>
      <c r="F62" s="16">
        <v>0.16500000000000001</v>
      </c>
      <c r="G62" s="6">
        <v>0.14399999999999999</v>
      </c>
      <c r="H62" s="5">
        <v>0.128</v>
      </c>
      <c r="I62" s="23"/>
      <c r="J62" s="42" t="str">
        <f t="shared" si="19"/>
        <v>Energy Recovery Allowance for 0.55 ≤ ERR &lt;0.60</v>
      </c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47"/>
      <c r="W62" s="37"/>
      <c r="X62" s="37"/>
      <c r="Y62">
        <f t="shared" si="20"/>
        <v>0</v>
      </c>
    </row>
    <row r="63" spans="1:25" x14ac:dyDescent="0.25">
      <c r="A63" s="32" t="s">
        <v>59</v>
      </c>
      <c r="B63" s="28" t="s">
        <v>83</v>
      </c>
      <c r="C63" s="6">
        <v>0.19</v>
      </c>
      <c r="D63" s="6">
        <v>0.16300000000000001</v>
      </c>
      <c r="E63" s="5">
        <v>0.14599999999999999</v>
      </c>
      <c r="F63" s="17">
        <v>0.191</v>
      </c>
      <c r="G63" s="6">
        <v>0.16600000000000001</v>
      </c>
      <c r="H63" s="5">
        <v>0.14799999999999999</v>
      </c>
      <c r="I63" s="23"/>
      <c r="J63" s="42" t="str">
        <f t="shared" si="19"/>
        <v>Energy Recovery Allowance for 0.60 ≤ ERR &lt;0.65</v>
      </c>
      <c r="K63" s="43"/>
      <c r="L63" s="43"/>
      <c r="M63" s="43"/>
      <c r="N63" s="43"/>
      <c r="O63" s="43"/>
      <c r="P63" s="43"/>
      <c r="Q63" s="43"/>
      <c r="R63" s="43"/>
      <c r="S63" s="43"/>
      <c r="T63" s="37"/>
      <c r="U63" s="37"/>
      <c r="V63" s="47"/>
      <c r="W63" s="37"/>
      <c r="X63" s="43"/>
      <c r="Y63" s="32">
        <f>COUNTIF(K63:X63,"x")+1</f>
        <v>1</v>
      </c>
    </row>
    <row r="64" spans="1:25" hidden="1" x14ac:dyDescent="0.25">
      <c r="A64" s="32" t="s">
        <v>59</v>
      </c>
      <c r="B64" s="28" t="s">
        <v>84</v>
      </c>
      <c r="C64" s="6">
        <v>0.215</v>
      </c>
      <c r="D64" s="6">
        <v>0.184</v>
      </c>
      <c r="E64" s="5">
        <v>0.16500000000000001</v>
      </c>
      <c r="F64" s="16">
        <v>0.216</v>
      </c>
      <c r="G64" s="6">
        <v>0.188</v>
      </c>
      <c r="H64" s="5">
        <v>0.16700000000000001</v>
      </c>
      <c r="I64" s="23"/>
      <c r="J64" s="42" t="str">
        <f t="shared" si="19"/>
        <v>Energy Recovery Allowance for 0.65 ≤ ERR &lt;0.70</v>
      </c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47"/>
      <c r="W64" s="37"/>
      <c r="X64" s="37"/>
      <c r="Y64">
        <f t="shared" si="20"/>
        <v>0</v>
      </c>
    </row>
    <row r="65" spans="1:25" hidden="1" x14ac:dyDescent="0.25">
      <c r="A65" s="32" t="s">
        <v>59</v>
      </c>
      <c r="B65" s="28" t="s">
        <v>85</v>
      </c>
      <c r="C65" s="6">
        <v>0.24</v>
      </c>
      <c r="D65" s="6">
        <v>0.20599999999999999</v>
      </c>
      <c r="E65" s="5">
        <v>0.184</v>
      </c>
      <c r="F65" s="16">
        <v>0.24099999999999999</v>
      </c>
      <c r="G65" s="6">
        <v>0.20899999999999999</v>
      </c>
      <c r="H65" s="5">
        <v>0.186</v>
      </c>
      <c r="I65" s="24"/>
      <c r="J65" s="42" t="str">
        <f t="shared" si="19"/>
        <v>Energy Recovery Allowance for 0.70 ≤ ERR &lt;0.75</v>
      </c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47"/>
      <c r="W65" s="37"/>
      <c r="X65" s="37"/>
      <c r="Y65">
        <f t="shared" si="20"/>
        <v>0</v>
      </c>
    </row>
    <row r="66" spans="1:25" hidden="1" x14ac:dyDescent="0.25">
      <c r="A66" s="32" t="s">
        <v>59</v>
      </c>
      <c r="B66" s="28" t="s">
        <v>86</v>
      </c>
      <c r="C66" s="6">
        <v>0.26500000000000001</v>
      </c>
      <c r="D66" s="6">
        <v>0.22700000000000001</v>
      </c>
      <c r="E66" s="5">
        <v>0.20300000000000001</v>
      </c>
      <c r="F66" s="16">
        <v>0.26600000000000001</v>
      </c>
      <c r="G66" s="6">
        <v>0.23100000000000001</v>
      </c>
      <c r="H66" s="5">
        <v>0.20499999999999999</v>
      </c>
      <c r="I66" s="24"/>
      <c r="J66" s="42" t="str">
        <f t="shared" si="19"/>
        <v>Energy Recovery Allowance for 0.75 ≤ ERR &lt;0.80</v>
      </c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47"/>
      <c r="W66" s="37"/>
      <c r="X66" s="37"/>
      <c r="Y66">
        <f t="shared" si="20"/>
        <v>0</v>
      </c>
    </row>
    <row r="67" spans="1:25" hidden="1" x14ac:dyDescent="0.25">
      <c r="A67" s="32" t="s">
        <v>59</v>
      </c>
      <c r="B67" s="28" t="s">
        <v>87</v>
      </c>
      <c r="C67" s="6">
        <v>0.28899999999999998</v>
      </c>
      <c r="D67" s="6">
        <v>0.248</v>
      </c>
      <c r="E67" s="5">
        <v>0.222</v>
      </c>
      <c r="F67" s="16">
        <v>0.29099999999999998</v>
      </c>
      <c r="G67" s="6">
        <v>0.252</v>
      </c>
      <c r="H67" s="5">
        <v>0.22500000000000001</v>
      </c>
      <c r="I67" s="24"/>
      <c r="J67" s="42" t="str">
        <f t="shared" si="19"/>
        <v>Energy Recovery Allowance for ERR ≥ 0.80</v>
      </c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47"/>
      <c r="W67" s="37"/>
      <c r="X67" s="37"/>
      <c r="Y67">
        <f t="shared" si="20"/>
        <v>0</v>
      </c>
    </row>
    <row r="68" spans="1:25" x14ac:dyDescent="0.25">
      <c r="A68" s="32" t="s">
        <v>59</v>
      </c>
      <c r="B68" s="29" t="s">
        <v>39</v>
      </c>
      <c r="C68" s="6">
        <v>0.13900000000000001</v>
      </c>
      <c r="D68" s="6">
        <v>0.12</v>
      </c>
      <c r="E68" s="5">
        <v>0.107</v>
      </c>
      <c r="F68" s="16">
        <v>0.13900000000000001</v>
      </c>
      <c r="G68" s="6">
        <v>0.123</v>
      </c>
      <c r="H68" s="5">
        <v>0.109</v>
      </c>
      <c r="I68" s="24"/>
      <c r="J68" s="42" t="str">
        <f t="shared" si="19"/>
        <v>Coil Runaround Loop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49"/>
      <c r="W68" s="43"/>
      <c r="X68" s="37"/>
      <c r="Y68" s="32">
        <f>COUNTIF(K68:X68,"x")+1</f>
        <v>1</v>
      </c>
    </row>
    <row r="69" spans="1:25" hidden="1" x14ac:dyDescent="0.25">
      <c r="A69" s="32" t="s">
        <v>59</v>
      </c>
      <c r="B69" s="27" t="s">
        <v>40</v>
      </c>
      <c r="C69" s="4"/>
      <c r="D69" s="4"/>
      <c r="E69" s="5">
        <v>3.5999999999999997E-2</v>
      </c>
      <c r="F69" s="14"/>
      <c r="G69" s="4"/>
      <c r="H69" s="5">
        <v>3.6999999999999998E-2</v>
      </c>
      <c r="I69" s="24"/>
      <c r="J69" s="42" t="str">
        <f t="shared" si="19"/>
        <v>Economizer return damper</v>
      </c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47"/>
      <c r="W69" s="37"/>
      <c r="X69" s="37"/>
      <c r="Y69">
        <f t="shared" si="20"/>
        <v>0</v>
      </c>
    </row>
    <row r="70" spans="1:25" hidden="1" x14ac:dyDescent="0.25">
      <c r="A70" s="32" t="s">
        <v>59</v>
      </c>
      <c r="B70" s="27" t="s">
        <v>41</v>
      </c>
      <c r="C70" s="6">
        <v>0.11600000000000001</v>
      </c>
      <c r="D70" s="6">
        <v>0.1</v>
      </c>
      <c r="E70" s="5">
        <v>8.8999999999999996E-2</v>
      </c>
      <c r="F70" s="15">
        <v>0.11600000000000001</v>
      </c>
      <c r="G70" s="6">
        <v>0.10199999999999999</v>
      </c>
      <c r="H70" s="5">
        <v>9.0999999999999998E-2</v>
      </c>
      <c r="I70" s="24"/>
      <c r="J70" s="42" t="str">
        <f t="shared" si="19"/>
        <v>Return or exhaust systems required by code or accreditation standards to be fully ducted, or systems required to maintain air pressure differentials between adjacent rooms</v>
      </c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47"/>
      <c r="W70" s="37"/>
      <c r="X70" s="37"/>
      <c r="Y70">
        <f t="shared" si="20"/>
        <v>0</v>
      </c>
    </row>
    <row r="71" spans="1:25" hidden="1" x14ac:dyDescent="0.25">
      <c r="A71" s="32" t="s">
        <v>59</v>
      </c>
      <c r="B71" s="27" t="s">
        <v>42</v>
      </c>
      <c r="C71" s="6">
        <v>0.11600000000000001</v>
      </c>
      <c r="D71" s="6">
        <v>0.1</v>
      </c>
      <c r="E71" s="5">
        <v>8.8999999999999996E-2</v>
      </c>
      <c r="F71" s="16">
        <v>0.11600000000000001</v>
      </c>
      <c r="G71" s="6">
        <v>0.10199999999999999</v>
      </c>
      <c r="H71" s="5">
        <v>9.0999999999999998E-2</v>
      </c>
      <c r="I71" s="24"/>
      <c r="J71" s="42" t="str">
        <f t="shared" si="19"/>
        <v>Return and/or exhaust
airflow control devices required for space pressurization control</v>
      </c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47"/>
      <c r="W71" s="37"/>
      <c r="X71" s="37"/>
      <c r="Y71">
        <f t="shared" si="20"/>
        <v>0</v>
      </c>
    </row>
    <row r="72" spans="1:25" hidden="1" x14ac:dyDescent="0.25">
      <c r="A72" s="32" t="s">
        <v>59</v>
      </c>
      <c r="B72" s="27" t="s">
        <v>43</v>
      </c>
      <c r="C72" s="6">
        <v>5.8000000000000003E-2</v>
      </c>
      <c r="D72" s="6">
        <v>5.0999999999999997E-2</v>
      </c>
      <c r="E72" s="5">
        <v>4.4999999999999998E-2</v>
      </c>
      <c r="F72" s="16">
        <v>5.8000000000000003E-2</v>
      </c>
      <c r="G72" s="6">
        <v>5.1999999999999998E-2</v>
      </c>
      <c r="H72" s="5">
        <v>4.5999999999999999E-2</v>
      </c>
      <c r="I72" s="24"/>
      <c r="J72" s="42" t="str">
        <f t="shared" si="19"/>
        <v>Laboratory and vivarium exhaust systems in high- rise buildings for vertical duct exceeding 75 ft.
Value shown is allowed w/cfm per 0.25 in. wg for each 100 feet exceeding 75 feet. [Calculation required, see note 4]</v>
      </c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47"/>
      <c r="W72" s="37"/>
      <c r="X72" s="37"/>
      <c r="Y72">
        <f t="shared" si="20"/>
        <v>0</v>
      </c>
    </row>
    <row r="73" spans="1:25" hidden="1" x14ac:dyDescent="0.25">
      <c r="A73" s="32" t="s">
        <v>59</v>
      </c>
      <c r="B73" s="27" t="s">
        <v>44</v>
      </c>
      <c r="C73" s="6">
        <v>0.23100000000000001</v>
      </c>
      <c r="D73" s="6">
        <v>0.19800000000000001</v>
      </c>
      <c r="E73" s="5">
        <v>0.17699999999999999</v>
      </c>
      <c r="F73" s="16">
        <v>0.23200000000000001</v>
      </c>
      <c r="G73" s="6">
        <v>0.20200000000000001</v>
      </c>
      <c r="H73" s="5">
        <v>0.17899999999999999</v>
      </c>
      <c r="I73" s="24"/>
      <c r="J73" s="42" t="str">
        <f t="shared" si="19"/>
        <v>Biosafety cabinet. Value
shown is allowed w/cfm per 1.0 in. wg air pressure drop. [Calculation required, see note 4]</v>
      </c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47"/>
      <c r="W73" s="37"/>
      <c r="X73" s="37"/>
      <c r="Y73">
        <f t="shared" si="20"/>
        <v>0</v>
      </c>
    </row>
    <row r="74" spans="1:25" hidden="1" x14ac:dyDescent="0.25">
      <c r="A74" s="32" t="s">
        <v>59</v>
      </c>
      <c r="B74" s="27" t="s">
        <v>45</v>
      </c>
      <c r="C74" s="6">
        <v>0.23100000000000001</v>
      </c>
      <c r="D74" s="6">
        <v>0.19800000000000001</v>
      </c>
      <c r="E74" s="5">
        <v>0.17699999999999999</v>
      </c>
      <c r="F74" s="16">
        <v>0.23200000000000001</v>
      </c>
      <c r="G74" s="6">
        <v>0.20200000000000001</v>
      </c>
      <c r="H74" s="5">
        <v>0.17899999999999999</v>
      </c>
      <c r="I74" s="24"/>
      <c r="J74" s="42" t="str">
        <f t="shared" si="19"/>
        <v>Exhaust filters,  scrubbers, or other exhaust treatment required by code or standard. Value shown is allowed w/cfm per 1.0 in. wg air pressure drop. [Calculation required, see note 4]</v>
      </c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47"/>
      <c r="W74" s="37"/>
      <c r="X74" s="37"/>
      <c r="Y74">
        <f t="shared" si="20"/>
        <v>0</v>
      </c>
    </row>
    <row r="75" spans="1:25" hidden="1" x14ac:dyDescent="0.25">
      <c r="A75" s="32" t="s">
        <v>59</v>
      </c>
      <c r="B75" s="27" t="s">
        <v>46</v>
      </c>
      <c r="C75" s="6">
        <v>3.5000000000000003E-2</v>
      </c>
      <c r="D75" s="6">
        <v>0.03</v>
      </c>
      <c r="E75" s="5">
        <v>2.7E-2</v>
      </c>
      <c r="F75" s="16">
        <v>3.5000000000000003E-2</v>
      </c>
      <c r="G75" s="6">
        <v>3.1E-2</v>
      </c>
      <c r="H75" s="5">
        <v>2.8000000000000001E-2</v>
      </c>
      <c r="I75" s="24"/>
      <c r="J75" s="42" t="str">
        <f t="shared" si="19"/>
        <v>Sound attenuation section [Fans serving spaces with design background noise goals below NC35.]</v>
      </c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47"/>
      <c r="W75" s="37"/>
      <c r="X75" s="37"/>
      <c r="Y75">
        <f t="shared" si="20"/>
        <v>0</v>
      </c>
    </row>
    <row r="76" spans="1:25" x14ac:dyDescent="0.25">
      <c r="A76" s="32" t="s">
        <v>59</v>
      </c>
      <c r="B76" t="s">
        <v>47</v>
      </c>
    </row>
    <row r="77" spans="1:25" x14ac:dyDescent="0.25">
      <c r="A77" s="32" t="s">
        <v>59</v>
      </c>
      <c r="B77" s="1" t="s">
        <v>48</v>
      </c>
    </row>
    <row r="78" spans="1:25" x14ac:dyDescent="0.25">
      <c r="A78" s="32" t="s">
        <v>59</v>
      </c>
      <c r="B78" t="s">
        <v>49</v>
      </c>
    </row>
    <row r="79" spans="1:25" x14ac:dyDescent="0.25">
      <c r="A79" s="32" t="s">
        <v>59</v>
      </c>
      <c r="B79" s="21" t="s">
        <v>53</v>
      </c>
    </row>
  </sheetData>
  <autoFilter ref="A19:Y79" xr:uid="{00000000-0001-0000-0000-000000000000}">
    <filterColumn colId="24">
      <filters blank="1">
        <filter val="1"/>
        <filter val="10"/>
        <filter val="11"/>
        <filter val="13"/>
        <filter val="14"/>
        <filter val="2"/>
        <filter val="6"/>
      </filters>
    </filterColumn>
  </autoFilter>
  <pageMargins left="0.7" right="0.7" top="0.75" bottom="0.75" header="0.3" footer="0.3"/>
  <ignoredErrors>
    <ignoredError sqref="Y26:Y61 Y63:Y68" formula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7D7F-151C-4BEE-BFF0-9B161E19B9D0}">
  <dimension ref="A1:Q27"/>
  <sheetViews>
    <sheetView tabSelected="1" workbookViewId="0">
      <selection activeCell="S6" sqref="S6"/>
    </sheetView>
  </sheetViews>
  <sheetFormatPr defaultRowHeight="13.2" x14ac:dyDescent="0.25"/>
  <sheetData>
    <row r="1" spans="1:17" x14ac:dyDescent="0.25">
      <c r="A1" t="s">
        <v>90</v>
      </c>
    </row>
    <row r="2" spans="1:17" x14ac:dyDescent="0.25">
      <c r="A2" t="s">
        <v>139</v>
      </c>
    </row>
    <row r="3" spans="1:17" x14ac:dyDescent="0.25">
      <c r="A3" t="s">
        <v>90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140</v>
      </c>
      <c r="P3" t="s">
        <v>141</v>
      </c>
    </row>
    <row r="4" spans="1:17" x14ac:dyDescent="0.25"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 t="s">
        <v>142</v>
      </c>
      <c r="P4" t="s">
        <v>143</v>
      </c>
    </row>
    <row r="5" spans="1:17" x14ac:dyDescent="0.25">
      <c r="B5" t="s">
        <v>115</v>
      </c>
      <c r="C5" t="s">
        <v>116</v>
      </c>
      <c r="D5">
        <f>Calcs!K7</f>
        <v>0.11600000000000001</v>
      </c>
      <c r="E5">
        <f>Calcs!L7</f>
        <v>0.11600000000000001</v>
      </c>
      <c r="F5">
        <f>Calcs!M7</f>
        <v>0.23100000000000001</v>
      </c>
      <c r="G5">
        <f>Calcs!N7</f>
        <v>0.33500000000000002</v>
      </c>
      <c r="H5">
        <f>Calcs!O7</f>
        <v>0.224</v>
      </c>
      <c r="I5">
        <f>Calcs!P7</f>
        <v>0.23100000000000001</v>
      </c>
      <c r="J5">
        <f>Calcs!Q7</f>
        <v>0.221</v>
      </c>
      <c r="K5">
        <f>Calcs!R7</f>
        <v>0.184</v>
      </c>
      <c r="L5">
        <f>Calcs!S7</f>
        <v>0.19</v>
      </c>
      <c r="M5">
        <f>Calcs!T7</f>
        <v>4.5999999999999999E-2</v>
      </c>
      <c r="N5">
        <f>Calcs!U7</f>
        <v>0</v>
      </c>
      <c r="O5">
        <f>Calcs!V7</f>
        <v>0.13500000000000001</v>
      </c>
      <c r="P5">
        <f>Calcs!W7</f>
        <v>0.13900000000000001</v>
      </c>
    </row>
    <row r="6" spans="1:17" x14ac:dyDescent="0.25">
      <c r="B6" t="s">
        <v>115</v>
      </c>
      <c r="C6" t="s">
        <v>117</v>
      </c>
      <c r="D6">
        <f>Calcs!K8</f>
        <v>0.1</v>
      </c>
      <c r="E6">
        <f>Calcs!L8</f>
        <v>0.1</v>
      </c>
      <c r="F6">
        <f>Calcs!M8</f>
        <v>0.19800000000000001</v>
      </c>
      <c r="G6">
        <f>Calcs!N8</f>
        <v>0.28000000000000003</v>
      </c>
      <c r="H6">
        <f>Calcs!O8</f>
        <v>0.188</v>
      </c>
      <c r="I6">
        <f>Calcs!P8</f>
        <v>0.19800000000000001</v>
      </c>
      <c r="J6">
        <f>Calcs!Q8</f>
        <v>0.246</v>
      </c>
      <c r="K6">
        <f>Calcs!R8</f>
        <v>0.155</v>
      </c>
      <c r="L6">
        <f>Calcs!S8</f>
        <v>0.16300000000000001</v>
      </c>
      <c r="M6">
        <f>Calcs!T8</f>
        <v>4.1000000000000002E-2</v>
      </c>
      <c r="N6">
        <f>Calcs!U8</f>
        <v>0</v>
      </c>
      <c r="O6">
        <f>Calcs!V8</f>
        <v>0.114</v>
      </c>
      <c r="P6">
        <f>Calcs!W8</f>
        <v>0.12</v>
      </c>
    </row>
    <row r="7" spans="1:17" x14ac:dyDescent="0.25">
      <c r="B7" t="s">
        <v>115</v>
      </c>
      <c r="C7" t="s">
        <v>118</v>
      </c>
      <c r="D7">
        <f>Calcs!K9</f>
        <v>8.8999999999999996E-2</v>
      </c>
      <c r="E7">
        <f>Calcs!L9</f>
        <v>8.8999999999999996E-2</v>
      </c>
      <c r="F7">
        <f>Calcs!M9</f>
        <v>0.17699999999999999</v>
      </c>
      <c r="G7">
        <f>Calcs!N9</f>
        <v>0.26500000000000001</v>
      </c>
      <c r="H7">
        <f>Calcs!O9</f>
        <v>0.17599999999999999</v>
      </c>
      <c r="I7">
        <f>Calcs!P9</f>
        <v>0.17699999999999999</v>
      </c>
      <c r="J7">
        <f>Calcs!Q9</f>
        <v>0.23599999999999999</v>
      </c>
      <c r="K7">
        <f>Calcs!R9</f>
        <v>0.14399999999999999</v>
      </c>
      <c r="L7">
        <f>Calcs!S9</f>
        <v>0.14599999999999999</v>
      </c>
      <c r="M7">
        <f>Calcs!T9</f>
        <v>3.5999999999999997E-2</v>
      </c>
      <c r="N7">
        <f>Calcs!U9</f>
        <v>0</v>
      </c>
      <c r="O7">
        <f>Calcs!V9</f>
        <v>0.105</v>
      </c>
      <c r="P7">
        <f>Calcs!W9</f>
        <v>0.107</v>
      </c>
    </row>
    <row r="8" spans="1:17" x14ac:dyDescent="0.25">
      <c r="B8" t="s">
        <v>119</v>
      </c>
      <c r="C8" t="s">
        <v>116</v>
      </c>
      <c r="D8">
        <f>Calcs!K10</f>
        <v>0.11600000000000001</v>
      </c>
      <c r="E8">
        <f>Calcs!L10</f>
        <v>0.11600000000000001</v>
      </c>
      <c r="F8">
        <f>Calcs!M10</f>
        <v>0.23200000000000001</v>
      </c>
      <c r="G8">
        <f>Calcs!N10</f>
        <v>0.34200000000000003</v>
      </c>
      <c r="H8">
        <f>Calcs!O10</f>
        <v>0.23100000000000001</v>
      </c>
      <c r="I8">
        <f>Calcs!P10</f>
        <v>0.23200000000000001</v>
      </c>
      <c r="J8">
        <f>Calcs!Q10</f>
        <v>0.186</v>
      </c>
      <c r="K8">
        <f>Calcs!R10</f>
        <v>0.19</v>
      </c>
      <c r="L8">
        <f>Calcs!S10</f>
        <v>0.191</v>
      </c>
      <c r="M8">
        <f>Calcs!T10</f>
        <v>4.5999999999999999E-2</v>
      </c>
      <c r="N8">
        <f>Calcs!U10</f>
        <v>7.0000000000000007E-2</v>
      </c>
      <c r="O8">
        <f>Calcs!V10</f>
        <v>0.13900000000000001</v>
      </c>
      <c r="P8">
        <f>Calcs!W10</f>
        <v>0.13900000000000001</v>
      </c>
    </row>
    <row r="9" spans="1:17" x14ac:dyDescent="0.25">
      <c r="B9" t="s">
        <v>119</v>
      </c>
      <c r="C9" t="s">
        <v>117</v>
      </c>
      <c r="D9">
        <f>Calcs!K11</f>
        <v>0.10199999999999999</v>
      </c>
      <c r="E9">
        <f>Calcs!L11</f>
        <v>0.10199999999999999</v>
      </c>
      <c r="F9">
        <f>Calcs!M11</f>
        <v>0.20200000000000001</v>
      </c>
      <c r="G9">
        <f>Calcs!N11</f>
        <v>0.29199999999999998</v>
      </c>
      <c r="H9">
        <f>Calcs!O11</f>
        <v>0.19700000000000001</v>
      </c>
      <c r="I9">
        <f>Calcs!P11</f>
        <v>0.20200000000000001</v>
      </c>
      <c r="J9">
        <f>Calcs!Q11</f>
        <v>0.184</v>
      </c>
      <c r="K9">
        <f>Calcs!R11</f>
        <v>0.16300000000000001</v>
      </c>
      <c r="L9">
        <f>Calcs!S11</f>
        <v>0.16600000000000001</v>
      </c>
      <c r="M9">
        <f>Calcs!T11</f>
        <v>4.1000000000000002E-2</v>
      </c>
      <c r="N9">
        <f>Calcs!U11</f>
        <v>0.1</v>
      </c>
      <c r="O9">
        <f>Calcs!V11</f>
        <v>0.12</v>
      </c>
      <c r="P9">
        <f>Calcs!W11</f>
        <v>0.123</v>
      </c>
    </row>
    <row r="10" spans="1:17" x14ac:dyDescent="0.25">
      <c r="B10" t="s">
        <v>119</v>
      </c>
      <c r="C10" t="s">
        <v>118</v>
      </c>
      <c r="D10">
        <f>Calcs!K12</f>
        <v>9.0999999999999998E-2</v>
      </c>
      <c r="E10">
        <f>Calcs!L12</f>
        <v>9.0999999999999998E-2</v>
      </c>
      <c r="F10">
        <f>Calcs!M12</f>
        <v>0.17899999999999999</v>
      </c>
      <c r="G10">
        <f>Calcs!N12</f>
        <v>0.26400000000000001</v>
      </c>
      <c r="H10">
        <f>Calcs!O12</f>
        <v>0.17699999999999999</v>
      </c>
      <c r="I10">
        <f>Calcs!P12</f>
        <v>0.17899999999999999</v>
      </c>
      <c r="J10">
        <f>Calcs!Q12</f>
        <v>0.19</v>
      </c>
      <c r="K10">
        <f>Calcs!R12</f>
        <v>0.14599999999999999</v>
      </c>
      <c r="L10">
        <f>Calcs!S12</f>
        <v>0.14799999999999999</v>
      </c>
      <c r="M10">
        <f>Calcs!T12</f>
        <v>3.5000000000000003E-2</v>
      </c>
      <c r="N10">
        <f>Calcs!U12</f>
        <v>8.8999999999999996E-2</v>
      </c>
      <c r="O10">
        <f>Calcs!V12</f>
        <v>0.107</v>
      </c>
      <c r="P10">
        <f>Calcs!W12</f>
        <v>0.109</v>
      </c>
    </row>
    <row r="11" spans="1:17" x14ac:dyDescent="0.25">
      <c r="A11" t="s">
        <v>120</v>
      </c>
    </row>
    <row r="12" spans="1:17" x14ac:dyDescent="0.25">
      <c r="A12" t="s">
        <v>90</v>
      </c>
    </row>
    <row r="13" spans="1:17" x14ac:dyDescent="0.25">
      <c r="A13" t="s">
        <v>144</v>
      </c>
    </row>
    <row r="14" spans="1:17" x14ac:dyDescent="0.25">
      <c r="A14" t="s">
        <v>90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69</v>
      </c>
      <c r="N14" t="s">
        <v>70</v>
      </c>
      <c r="O14" t="s">
        <v>71</v>
      </c>
      <c r="P14" t="s">
        <v>71</v>
      </c>
      <c r="Q14" t="s">
        <v>89</v>
      </c>
    </row>
    <row r="15" spans="1:17" x14ac:dyDescent="0.25">
      <c r="C15" t="s">
        <v>103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L15" t="s">
        <v>138</v>
      </c>
      <c r="M15" t="s">
        <v>145</v>
      </c>
      <c r="N15" t="s">
        <v>146</v>
      </c>
      <c r="O15" t="s">
        <v>147</v>
      </c>
      <c r="P15" t="s">
        <v>148</v>
      </c>
      <c r="Q15" t="s">
        <v>149</v>
      </c>
    </row>
    <row r="16" spans="1:17" x14ac:dyDescent="0.25">
      <c r="C16" t="s">
        <v>116</v>
      </c>
      <c r="D16">
        <f ca="1">Calcs!K15</f>
        <v>0.8</v>
      </c>
      <c r="E16">
        <f ca="1">Calcs!L15</f>
        <v>0.74199999999999999</v>
      </c>
      <c r="F16">
        <f ca="1">Calcs!M15</f>
        <v>0.8</v>
      </c>
      <c r="G16">
        <f ca="1">Calcs!N15</f>
        <v>0.8</v>
      </c>
      <c r="H16">
        <f ca="1">Calcs!O15</f>
        <v>0.74199999999999999</v>
      </c>
      <c r="I16">
        <f ca="1">Calcs!P15</f>
        <v>0.8</v>
      </c>
      <c r="J16">
        <f ca="1">Calcs!Q15</f>
        <v>0.97800000000000009</v>
      </c>
      <c r="K16">
        <f ca="1">Calcs!R15</f>
        <v>0.97800000000000009</v>
      </c>
      <c r="L16">
        <f ca="1">Calcs!S15</f>
        <v>0.61499999999999999</v>
      </c>
      <c r="M16">
        <f ca="1">Calcs!T15</f>
        <v>0.60200000000000009</v>
      </c>
      <c r="N16">
        <f ca="1">Calcs!U15</f>
        <v>0.6140000000000001</v>
      </c>
      <c r="O16">
        <f ca="1">Calcs!V15</f>
        <v>0.62600000000000011</v>
      </c>
      <c r="P16">
        <f ca="1">Calcs!W15</f>
        <v>0.71200000000000008</v>
      </c>
      <c r="Q16">
        <f ca="1">Calcs!X15</f>
        <v>0.97800000000000009</v>
      </c>
    </row>
    <row r="17" spans="1:17" x14ac:dyDescent="0.25">
      <c r="C17" t="s">
        <v>117</v>
      </c>
      <c r="D17">
        <f ca="1">Calcs!K16</f>
        <v>0.78</v>
      </c>
      <c r="E17">
        <f ca="1">Calcs!L16</f>
        <v>0.72</v>
      </c>
      <c r="F17">
        <f ca="1">Calcs!M16</f>
        <v>0.78</v>
      </c>
      <c r="G17">
        <f ca="1">Calcs!N16</f>
        <v>0.78</v>
      </c>
      <c r="H17">
        <f ca="1">Calcs!O16</f>
        <v>0.72</v>
      </c>
      <c r="I17">
        <f ca="1">Calcs!P16</f>
        <v>0.78</v>
      </c>
      <c r="J17">
        <f ca="1">Calcs!Q16</f>
        <v>1.0130000000000001</v>
      </c>
      <c r="K17">
        <f ca="1">Calcs!R16</f>
        <v>1.0130000000000001</v>
      </c>
      <c r="L17">
        <f ca="1">Calcs!S16</f>
        <v>0.62</v>
      </c>
      <c r="M17">
        <f ca="1">Calcs!T16</f>
        <v>0.58600000000000008</v>
      </c>
      <c r="N17">
        <f ca="1">Calcs!U16</f>
        <v>0.59600000000000009</v>
      </c>
      <c r="O17">
        <f ca="1">Calcs!V16</f>
        <v>0.64600000000000002</v>
      </c>
      <c r="P17">
        <f ca="1">Calcs!W16</f>
        <v>0.72900000000000009</v>
      </c>
      <c r="Q17">
        <f ca="1">Calcs!X16</f>
        <v>1.0130000000000001</v>
      </c>
    </row>
    <row r="18" spans="1:17" x14ac:dyDescent="0.25">
      <c r="C18" t="s">
        <v>118</v>
      </c>
      <c r="D18">
        <f ca="1">Calcs!K17</f>
        <v>0.748</v>
      </c>
      <c r="E18">
        <f ca="1">Calcs!L17</f>
        <v>0.67599999999999993</v>
      </c>
      <c r="F18">
        <f ca="1">Calcs!M17</f>
        <v>0.748</v>
      </c>
      <c r="G18">
        <f ca="1">Calcs!N17</f>
        <v>0.748</v>
      </c>
      <c r="H18">
        <f ca="1">Calcs!O17</f>
        <v>0.67599999999999993</v>
      </c>
      <c r="I18">
        <f ca="1">Calcs!P17</f>
        <v>0.748</v>
      </c>
      <c r="J18">
        <f ca="1">Calcs!Q17</f>
        <v>0.94600000000000006</v>
      </c>
      <c r="K18">
        <f ca="1">Calcs!R17</f>
        <v>0.94600000000000006</v>
      </c>
      <c r="L18">
        <f ca="1">Calcs!S17</f>
        <v>0.60499999999999998</v>
      </c>
      <c r="M18">
        <f ca="1">Calcs!T17</f>
        <v>0.54</v>
      </c>
      <c r="N18">
        <f ca="1">Calcs!U17</f>
        <v>0.55800000000000005</v>
      </c>
      <c r="O18">
        <f ca="1">Calcs!V17</f>
        <v>0.61099999999999999</v>
      </c>
      <c r="P18">
        <f ca="1">Calcs!W17</f>
        <v>0.67500000000000004</v>
      </c>
      <c r="Q18">
        <f ca="1">Calcs!X17</f>
        <v>0.94600000000000006</v>
      </c>
    </row>
    <row r="19" spans="1:17" x14ac:dyDescent="0.25">
      <c r="A19" t="s">
        <v>120</v>
      </c>
    </row>
    <row r="20" spans="1:17" x14ac:dyDescent="0.25">
      <c r="A20" t="s">
        <v>90</v>
      </c>
    </row>
    <row r="21" spans="1:17" x14ac:dyDescent="0.25">
      <c r="A21" t="s">
        <v>150</v>
      </c>
    </row>
    <row r="22" spans="1:17" x14ac:dyDescent="0.25">
      <c r="A22" t="s">
        <v>90</v>
      </c>
      <c r="D22" t="s">
        <v>151</v>
      </c>
      <c r="E22" t="s">
        <v>152</v>
      </c>
    </row>
    <row r="23" spans="1:17" x14ac:dyDescent="0.25">
      <c r="C23" t="s">
        <v>103</v>
      </c>
      <c r="D23" t="s">
        <v>153</v>
      </c>
      <c r="E23" t="s">
        <v>119</v>
      </c>
    </row>
    <row r="24" spans="1:17" x14ac:dyDescent="0.25">
      <c r="C24" t="s">
        <v>116</v>
      </c>
      <c r="D24">
        <v>0.20499999999999999</v>
      </c>
      <c r="E24">
        <v>0.20899999999999999</v>
      </c>
    </row>
    <row r="25" spans="1:17" x14ac:dyDescent="0.25">
      <c r="C25" t="s">
        <v>117</v>
      </c>
      <c r="D25">
        <v>0.17399999999999999</v>
      </c>
      <c r="E25">
        <v>0.182</v>
      </c>
    </row>
    <row r="26" spans="1:17" x14ac:dyDescent="0.25">
      <c r="C26" t="s">
        <v>118</v>
      </c>
      <c r="D26">
        <v>0.159</v>
      </c>
      <c r="E26">
        <v>0.16200000000000001</v>
      </c>
    </row>
    <row r="27" spans="1:17" x14ac:dyDescent="0.25">
      <c r="A2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Calcs</vt:lpstr>
      <vt:lpstr>For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15-Day Express Terms 2022 Energy Code - Residential and Nonresidential</dc:title>
  <dc:creator>aownby</dc:creator>
  <cp:lastModifiedBy>Jireh Peng</cp:lastModifiedBy>
  <dcterms:created xsi:type="dcterms:W3CDTF">2022-08-02T10:50:40Z</dcterms:created>
  <dcterms:modified xsi:type="dcterms:W3CDTF">2026-04-22T20:56:30Z</dcterms:modified>
</cp:coreProperties>
</file>