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BECC\git-vscode\CBECC-Dev\Documentation\T24N\"/>
    </mc:Choice>
  </mc:AlternateContent>
  <xr:revisionPtr revIDLastSave="0" documentId="13_ncr:1_{AA1A676B-33DE-4906-B0A2-E1BB5758E388}" xr6:coauthVersionLast="47" xr6:coauthVersionMax="47" xr10:uidLastSave="{00000000-0000-0000-0000-000000000000}"/>
  <bookViews>
    <workbookView xWindow="4845" yWindow="1005" windowWidth="23850" windowHeight="15450" xr2:uid="{06DD2E85-E74E-41DF-AAE4-37E8BABFD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4" i="1" l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44" i="1"/>
  <c r="H44" i="1" s="1"/>
  <c r="D45" i="1"/>
  <c r="H45" i="1" s="1"/>
  <c r="D46" i="1"/>
  <c r="H46" i="1" s="1"/>
  <c r="D47" i="1"/>
  <c r="H47" i="1" s="1"/>
  <c r="D48" i="1"/>
  <c r="H48" i="1" s="1"/>
  <c r="D49" i="1"/>
  <c r="H49" i="1" s="1"/>
  <c r="D50" i="1"/>
  <c r="H50" i="1" s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H66" i="1" s="1"/>
  <c r="D67" i="1"/>
  <c r="H67" i="1" s="1"/>
  <c r="D68" i="1"/>
  <c r="H68" i="1" s="1"/>
  <c r="D69" i="1"/>
  <c r="H69" i="1" s="1"/>
  <c r="D70" i="1"/>
  <c r="H70" i="1" s="1"/>
  <c r="D71" i="1"/>
  <c r="H71" i="1" s="1"/>
  <c r="D72" i="1"/>
  <c r="H72" i="1" s="1"/>
  <c r="D73" i="1"/>
  <c r="H73" i="1" s="1"/>
  <c r="D74" i="1"/>
  <c r="H74" i="1" s="1"/>
  <c r="D75" i="1"/>
  <c r="H75" i="1" s="1"/>
  <c r="D76" i="1"/>
  <c r="H76" i="1" s="1"/>
  <c r="D77" i="1"/>
  <c r="H77" i="1" s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55" i="1"/>
  <c r="H155" i="1" s="1"/>
  <c r="D156" i="1"/>
  <c r="H156" i="1" s="1"/>
  <c r="D157" i="1"/>
  <c r="H157" i="1" s="1"/>
  <c r="D158" i="1"/>
  <c r="H158" i="1" s="1"/>
  <c r="D159" i="1"/>
  <c r="H159" i="1" s="1"/>
  <c r="D160" i="1"/>
  <c r="H160" i="1" s="1"/>
  <c r="D26" i="1" l="1"/>
  <c r="K54" i="1"/>
  <c r="K53" i="1"/>
  <c r="K52" i="1"/>
  <c r="K51" i="1"/>
  <c r="K50" i="1"/>
  <c r="K49" i="1"/>
  <c r="D43" i="1" l="1"/>
  <c r="H43" i="1" s="1"/>
  <c r="D42" i="1"/>
  <c r="H42" i="1" s="1"/>
  <c r="D41" i="1"/>
  <c r="H41" i="1" s="1"/>
  <c r="D40" i="1"/>
  <c r="H40" i="1" s="1"/>
  <c r="D39" i="1"/>
  <c r="H39" i="1" s="1"/>
  <c r="D38" i="1"/>
  <c r="H38" i="1" s="1"/>
  <c r="D37" i="1"/>
  <c r="H37" i="1" s="1"/>
  <c r="D36" i="1"/>
  <c r="H36" i="1" s="1"/>
  <c r="D35" i="1"/>
  <c r="H35" i="1" s="1"/>
  <c r="D34" i="1"/>
  <c r="H34" i="1" s="1"/>
  <c r="D33" i="1"/>
  <c r="H33" i="1" s="1"/>
  <c r="D32" i="1"/>
  <c r="H32" i="1" s="1"/>
  <c r="D31" i="1"/>
  <c r="H31" i="1" s="1"/>
  <c r="D30" i="1"/>
  <c r="H30" i="1" s="1"/>
  <c r="D29" i="1"/>
  <c r="H29" i="1" s="1"/>
  <c r="D28" i="1"/>
  <c r="H28" i="1" s="1"/>
  <c r="D27" i="1"/>
  <c r="H27" i="1" s="1"/>
  <c r="H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</authors>
  <commentList>
    <comment ref="L19" authorId="0" shapeId="0" xr:uid="{6303DEEF-C866-46FF-8A24-CA09C6A7EC95}">
      <text>
        <r>
          <rPr>
            <b/>
            <sz val="9"/>
            <color indexed="81"/>
            <rFont val="Tahoma"/>
            <family val="2"/>
          </rPr>
          <t>SAC 2/3/22:</t>
        </r>
        <r>
          <rPr>
            <sz val="9"/>
            <color indexed="81"/>
            <rFont val="Tahoma"/>
            <family val="2"/>
          </rPr>
          <t xml:space="preserve">
updated OutputCap from 10 to 14 per guidance from PK</t>
        </r>
      </text>
    </comment>
  </commentList>
</comments>
</file>

<file path=xl/sharedStrings.xml><?xml version="1.0" encoding="utf-8"?>
<sst xmlns="http://schemas.openxmlformats.org/spreadsheetml/2006/main" count="523" uniqueCount="343">
  <si>
    <t>;</t>
  </si>
  <si>
    <t>CEC Title-24 Residential Compliance Ruleset</t>
  </si>
  <si>
    <t>Last modified:</t>
  </si>
  <si>
    <t>Source Data:</t>
  </si>
  <si>
    <t>Mod history:</t>
  </si>
  <si>
    <t>Independents:</t>
  </si>
  <si>
    <t>Dependents:</t>
  </si>
  <si>
    <t>Central HPWH Compressors look-up table</t>
  </si>
  <si>
    <t>8/31/20 - SAC - created initial table from existing ruleset data and compressor capacity (kW) data from Ben Larson</t>
  </si>
  <si>
    <t>Ben Larson, Paul Kintner, Chip Barnaby &amp; Bruce Wilcox - 2020 CHPWH dev team</t>
  </si>
  <si>
    <t>TABLE T24RCHPWHCompressor</t>
  </si>
  <si>
    <t>CHPWHCompType</t>
  </si>
  <si>
    <t>OutputCap</t>
  </si>
  <si>
    <t>Colmac CxV-5</t>
  </si>
  <si>
    <t>Colmac CxA-10</t>
  </si>
  <si>
    <t>Colmac CxA-15</t>
  </si>
  <si>
    <t>Colmac CxA-20</t>
  </si>
  <si>
    <t>Colmac CxA-25</t>
  </si>
  <si>
    <t>Colmac CxA-30</t>
  </si>
  <si>
    <t>Nyle C25A</t>
  </si>
  <si>
    <t>Nyle C60A</t>
  </si>
  <si>
    <t>Nyle C90A</t>
  </si>
  <si>
    <t>Nyle C125A</t>
  </si>
  <si>
    <t>Nyle C185A</t>
  </si>
  <si>
    <t>Nyle C250A</t>
  </si>
  <si>
    <t>Nyle C60A-CWP</t>
  </si>
  <si>
    <t>Nyle C90A-CWP</t>
  </si>
  <si>
    <t>Nyle C125A-CWP</t>
  </si>
  <si>
    <t>Nyle C185A-CWP</t>
  </si>
  <si>
    <t>Nyle C250A-CWP</t>
  </si>
  <si>
    <t>Sanden GS3-45HPA-US</t>
  </si>
  <si>
    <t>TypeID</t>
  </si>
  <si>
    <t>Name</t>
  </si>
  <si>
    <t>CSE Simulation Compressor Types</t>
  </si>
  <si>
    <t>Nyle C125A-C</t>
  </si>
  <si>
    <t>Nyle C185A-C</t>
  </si>
  <si>
    <t>Nyle C250A-C</t>
  </si>
  <si>
    <t>Nyle C60A-C</t>
  </si>
  <si>
    <t>Nyle C90A-C</t>
  </si>
  <si>
    <t>Lochinvar AHP025-*-***N****</t>
  </si>
  <si>
    <t>Lochinvar AHP060-*-***N****</t>
  </si>
  <si>
    <t>Lochinvar AHP090-*-***N****</t>
  </si>
  <si>
    <t>Lochinvar AHP125-*-***N****</t>
  </si>
  <si>
    <t>Lochinvar AHP185-*-***N****</t>
  </si>
  <si>
    <t>Lochinvar AHP250-*-***N****</t>
  </si>
  <si>
    <t>A. O. Smith AHPA-125-*-***N****</t>
  </si>
  <si>
    <t>A. O. Smith AHPA-185-*-***N****</t>
  </si>
  <si>
    <t>A. O. Smith AHPA-250-*-***N****</t>
  </si>
  <si>
    <t>A. O. Smith AHPA-125-*-***C****</t>
  </si>
  <si>
    <t>A. O. Smith AHPA-185-*-***C****</t>
  </si>
  <si>
    <t>A. O. Smith AHPA-250-*-***C****</t>
  </si>
  <si>
    <t>State SHPA-125-*-***C****</t>
  </si>
  <si>
    <t>State SHPA-185-*-***C****</t>
  </si>
  <si>
    <t>State SHPA-250-*-***C****</t>
  </si>
  <si>
    <t>A. O. Smith AHPA-25-*-***N****</t>
  </si>
  <si>
    <t>A. O. Smith AHPA-60-*-***N****</t>
  </si>
  <si>
    <t>A. O. Smith AHPA-90-*-***N****</t>
  </si>
  <si>
    <t>State SHPA-25-*-***N****</t>
  </si>
  <si>
    <t>State SHPA-60-*-***N****</t>
  </si>
  <si>
    <t>State SHPA-90-*-***N****</t>
  </si>
  <si>
    <t>State SHPA-125-*-***N****</t>
  </si>
  <si>
    <t>State SHPA-185-*-***N****</t>
  </si>
  <si>
    <t>State SHPA-250-*-***N****</t>
  </si>
  <si>
    <t>Lochinvar AHP060-*-***C****</t>
  </si>
  <si>
    <t>Lochinvar AHP090-*-***C****</t>
  </si>
  <si>
    <t>Lochinvar AHP125-*-***C****</t>
  </si>
  <si>
    <t>Lochinvar AHP185-*-***C****</t>
  </si>
  <si>
    <t>Lochinvar AHP250-*-***C****</t>
  </si>
  <si>
    <t>A. O. Smith AHPA-60-*-***C****</t>
  </si>
  <si>
    <t>A. O. Smith AHPA-90-*-***C****</t>
  </si>
  <si>
    <t>State SHPA-60-*-***C****</t>
  </si>
  <si>
    <t>State SHPA-90-*-***C****</t>
  </si>
  <si>
    <t>old name</t>
  </si>
  <si>
    <t>new name</t>
  </si>
  <si>
    <t>*</t>
  </si>
  <si>
    <t>ERROR</t>
  </si>
  <si>
    <t>ENDTABLE</t>
  </si>
  <si>
    <t>CHPWHCompType - numeric value that maps to DHWSys:CHPWHCompType</t>
  </si>
  <si>
    <t>OutputCap - output heating capacity @ ambient 40 deg F</t>
  </si>
  <si>
    <t>generic</t>
  </si>
  <si>
    <t>6/22/21 - SAC - added 'generic' 5, 11, 20, 26, 40 &amp; 45 kW compressor types</t>
  </si>
  <si>
    <t>Colmac CxA-10 (MP)</t>
  </si>
  <si>
    <t>Colmac CxA-15 (MP)</t>
  </si>
  <si>
    <t>Colmac CxA-20 (MP)</t>
  </si>
  <si>
    <t>Colmac CxA-25 (MP)</t>
  </si>
  <si>
    <t>Colmac CxA-30 (MP)</t>
  </si>
  <si>
    <t>Colmac CxV-5 (MP)</t>
  </si>
  <si>
    <t>Rheem HPHD-135VNU (vertical MP)</t>
  </si>
  <si>
    <t>Rheem HPHD-60HNU (horiz MP)</t>
  </si>
  <si>
    <t>Rheem HPHD-60VNU (vertical MP)</t>
  </si>
  <si>
    <t>Rheem HPHD-135HNU (horiz MP)</t>
  </si>
  <si>
    <t>multi pass additions - SAC 01/18/22</t>
  </si>
  <si>
    <t>Colmac CxA-10 (MP, 21kW cap @ 40F)</t>
  </si>
  <si>
    <t>Colmac CxA-15 (MP, 29kW cap @ 40F)</t>
  </si>
  <si>
    <t>Colmac CxA-20 (MP, 41kW cap @ 40F)</t>
  </si>
  <si>
    <t>Colmac CxA-25 (MP, 50kW cap @ 40F)</t>
  </si>
  <si>
    <t>Colmac CxA-30 (MP, 58kW cap @ 40F)</t>
  </si>
  <si>
    <t>Rheem HPHD-135VNU (vertical MP, 30kW cap @ 45F)</t>
  </si>
  <si>
    <t>Colmac CxV-5 (MP, 14kW cap @ 40F)</t>
  </si>
  <si>
    <t>Rheem HPHD-135HNU (horiz MP, 30kW cap @ 45F)</t>
  </si>
  <si>
    <t>Rheem HPHD-60HNU (horiz MP, 12kW cap @ 45F)</t>
  </si>
  <si>
    <t>Rheem HPHD-60VNU (vertical MP, 12kW cap @ 45F)</t>
  </si>
  <si>
    <t>01/18/22 - SAC - added multi pass compressor types</t>
  </si>
  <si>
    <t>02/03/22 - SAC - updated Colmac CxV-5 compressor OutputCap from 10 to 14 kW</t>
  </si>
  <si>
    <t>more multi pass options - SAC 02/23/22</t>
  </si>
  <si>
    <t>Nyle C60A  (MP)</t>
  </si>
  <si>
    <t>Nyle C90A  (MP)</t>
  </si>
  <si>
    <t>Nyle C125A  (MP)</t>
  </si>
  <si>
    <t>Nyle C185A  (MP)</t>
  </si>
  <si>
    <t>Nyle C250A  (MP)</t>
  </si>
  <si>
    <t>Nyle C60A-CWP  (MP)</t>
  </si>
  <si>
    <t>Nyle C90A-CWP  (MP)</t>
  </si>
  <si>
    <t>Nyle C125A-CWP  (MP)</t>
  </si>
  <si>
    <t>Nyle C185A-CWP  (MP)</t>
  </si>
  <si>
    <t>Nyle C250A-CWP  (MP)</t>
  </si>
  <si>
    <t xml:space="preserve">Nyle C60A  (MP, 11kw cap @ 40F)   </t>
  </si>
  <si>
    <t>Nyle C90A  (MP, 20kw cap @ 40F)</t>
  </si>
  <si>
    <t>Nyle C125A  (MP, 26kw cap @ 40F)</t>
  </si>
  <si>
    <t>Nyle C185A  (MP, 41kw cap @ 40F)</t>
  </si>
  <si>
    <t>Nyle C250A  (MP, 46kw cap @ 40F)</t>
  </si>
  <si>
    <t>Nyle C60A-C  (MP, 11kw cap @ 40F)</t>
  </si>
  <si>
    <t>Nyle C90A-C  (MP, 20kw cap @ 40F)</t>
  </si>
  <si>
    <t>Nyle C125A-C  (MP, 26kw cap @ 40F)</t>
  </si>
  <si>
    <t>Nyle C185A-C  (MP, 41kw cap @ 40F)</t>
  </si>
  <si>
    <t>Nyle C250A-C  (MP, 46kw cap @ 40F)</t>
  </si>
  <si>
    <t>Lochinvar AHP060-*-***N****  (MP, 11kw cap @ 40F)</t>
  </si>
  <si>
    <t>Lochinvar AHP090-*-***N****  (MP, 20kw cap @ 40F)</t>
  </si>
  <si>
    <t>Lochinvar AHP125-*-***N****  (MP, 26kw cap @ 40F)</t>
  </si>
  <si>
    <t>Lochinvar AHP185-*-***N****  (MP, 41kw cap @ 40F)</t>
  </si>
  <si>
    <t>Lochinvar AHP250-*-***N****  (MP, 46kw cap @ 40F)</t>
  </si>
  <si>
    <t>A. O. Smith AHPA-60-*-***N****  (MP, 11kw cap @ 40F)</t>
  </si>
  <si>
    <t>A. O. Smith AHPA-90-*-***N****  (MP, 20kw cap @ 40F)</t>
  </si>
  <si>
    <t>A. O. Smith AHPA-125-*-***N****  (MP, 26kw cap @ 40F)</t>
  </si>
  <si>
    <t>A. O. Smith AHPA-185-*-***N****  (MP, 41kw cap @ 40F)</t>
  </si>
  <si>
    <t>A. O. Smith AHPA-250-*-***N****  (MP, 46kw cap @ 40F)</t>
  </si>
  <si>
    <t>State SHPA-60-*-***N****  (MP, 11kw cap @ 40F)</t>
  </si>
  <si>
    <t>State SHPA-90-*-***N****  (MP, 20kw cap @ 40F)</t>
  </si>
  <si>
    <t>State SHPA-125-*-***N****  (MP, 26kw cap @ 40F)</t>
  </si>
  <si>
    <t>State SHPA-185-*-***N****  (MP, 41kw cap @ 40F)</t>
  </si>
  <si>
    <t>State SHPA-250-*-***N****  (MP, 46kw cap @ 40F)</t>
  </si>
  <si>
    <t>Lochinvar AHP060-*-***C****  (MP, 11kw cap @ 40F)</t>
  </si>
  <si>
    <t>Lochinvar AHP090-*-***C****  (MP, 20kw cap @ 40F)</t>
  </si>
  <si>
    <t>Lochinvar AHP125-*-***C****  (MP, 26kw cap @ 40F)</t>
  </si>
  <si>
    <t>Lochinvar AHP185-*-***C****  (MP, 41kw cap @ 40F)</t>
  </si>
  <si>
    <t>Lochinvar AHP250-*-***C****  (MP, 46kw cap @ 40F)</t>
  </si>
  <si>
    <t>A. O. Smith AHPA-60-*-***C****  (MP, 11kw cap @ 40F)</t>
  </si>
  <si>
    <t>A. O. Smith AHPA-90-*-***C****  (MP, 20kw cap @ 40F)</t>
  </si>
  <si>
    <t>A. O. Smith AHPA-125-*-***C****  (MP, 26kw cap @ 40F)</t>
  </si>
  <si>
    <t>A. O. Smith AHPA-185-*-***C****  (MP, 41kw cap @ 40F)</t>
  </si>
  <si>
    <t>A. O. Smith AHPA-250-*-***C****  (MP, 46kw cap @ 40F)</t>
  </si>
  <si>
    <t>State SHPA-60-*-***C****  (MP, 11kw cap @ 40F)</t>
  </si>
  <si>
    <t>State SHPA-90-*-***C****  (MP, 20kw cap @ 40F)</t>
  </si>
  <si>
    <t>State SHPA-125-*-***C****  (MP, 26kw cap @ 40F)</t>
  </si>
  <si>
    <t>State SHPA-185-*-***C****  (MP, 41kw cap @ 40F)</t>
  </si>
  <si>
    <t>State SHPA-250-*-***C****  (MP, 46kw cap @ 40F)</t>
  </si>
  <si>
    <t>02/23/22 - SAC - added Nyle multi pass compressor types</t>
  </si>
  <si>
    <t>MITSUBISHI_QAHV_N136TAU_HPB_SP</t>
  </si>
  <si>
    <t>SAC 12/18/24</t>
  </si>
  <si>
    <t>Mitsubishi QAHV-N136TAU-HPB</t>
  </si>
  <si>
    <t>12/18/24 - SAC - added new compressor type: Mitsubishi QAHV-N136TAU-HPB  (40kW cap @ 40F)</t>
  </si>
  <si>
    <t>03/04/26 - SAC - added new IceAir models (dev #736)</t>
  </si>
  <si>
    <t>IceAir_ccHPWH275D_MP</t>
  </si>
  <si>
    <t>IceAir_ccHPWH550D_MP</t>
  </si>
  <si>
    <t>03/04/26 - SAC (dev #736)</t>
  </si>
  <si>
    <t>Ice Air ccHPWH275  (MP 70kW cap @ 40F)</t>
  </si>
  <si>
    <t>Ice Air ccHPWH550  (MP 140kW cap @ 40F)</t>
  </si>
  <si>
    <t>AOSMITH_CAHP2CO-6_SP</t>
  </si>
  <si>
    <t>AOSMITH_CAHP3CO-6_SP</t>
  </si>
  <si>
    <t>LAARS_ECHV0325_SP</t>
  </si>
  <si>
    <t>NYLE_E360_SP</t>
  </si>
  <si>
    <t>NYLE_E180_SP</t>
  </si>
  <si>
    <t>WATTS_AEGIS_500A_SP</t>
  </si>
  <si>
    <t>Rheem_RMHPHDA068VD_SP</t>
  </si>
  <si>
    <t>Rheem_RMHPHDA120VD_SP</t>
  </si>
  <si>
    <t>Rheem_RMHPHDA068VD_MP</t>
  </si>
  <si>
    <t>Rheem_RMHPHDA120VD_MP</t>
  </si>
  <si>
    <t>08/03/26 - SAC (dev #965)</t>
  </si>
  <si>
    <t>State CAHP2CO-6  (10kW cap @ 40F)</t>
  </si>
  <si>
    <t>American CAHP2CO-6  (10kW cap @ 40F)</t>
  </si>
  <si>
    <t>Lochinvar CAHP2CO-6  (10kW cap @ 40F)</t>
  </si>
  <si>
    <t>State CAHP3CO-6  (15kW cap @ 40F)</t>
  </si>
  <si>
    <t>American CAHP3CO-6  (15kW cap @ 40F)</t>
  </si>
  <si>
    <t>Lochinvar CAHP3CO-6  (15kW cap @ 40F)</t>
  </si>
  <si>
    <t>Laars ECHV0325  (79kW cap @ 40F)</t>
  </si>
  <si>
    <t>Bradford White CHEV0325  (79kW cap @ 40F)</t>
  </si>
  <si>
    <t>Nyle e360  (48kW cap @ 40F)</t>
  </si>
  <si>
    <t>Nyle e180  (33kW cap @ 40F)</t>
  </si>
  <si>
    <t>Lync Aegis 500A  (109kW cap @ 40F)</t>
  </si>
  <si>
    <t>CHPWHCompTypeRpt</t>
  </si>
  <si>
    <t>ColmacCxV5</t>
  </si>
  <si>
    <t>ColmacCxA10</t>
  </si>
  <si>
    <t>ColmacCxA15</t>
  </si>
  <si>
    <t>ColmacCxA20</t>
  </si>
  <si>
    <t>ColmacCxA25</t>
  </si>
  <si>
    <t>ColmacCxA30</t>
  </si>
  <si>
    <t>NyleC25A</t>
  </si>
  <si>
    <t>NyleC60A</t>
  </si>
  <si>
    <t>NyleC90A</t>
  </si>
  <si>
    <t>NyleC125A</t>
  </si>
  <si>
    <t>NyleC185A</t>
  </si>
  <si>
    <t>NyleC250A</t>
  </si>
  <si>
    <t>NyleC60A_C</t>
  </si>
  <si>
    <t>NyleC90A_C</t>
  </si>
  <si>
    <t>NyleC125A_C</t>
  </si>
  <si>
    <t>NyleC185A_C</t>
  </si>
  <si>
    <t>NyleC250A_C</t>
  </si>
  <si>
    <t>SandenGS345HPAUS</t>
  </si>
  <si>
    <t>MitsubishiQAHVN136TAUHPB</t>
  </si>
  <si>
    <t>LochinvarAHP025</t>
  </si>
  <si>
    <t>LochinvarAHP060</t>
  </si>
  <si>
    <t>LochinvarAHP090</t>
  </si>
  <si>
    <t>LochinvarAHP125</t>
  </si>
  <si>
    <t>LochinvarAHP185</t>
  </si>
  <si>
    <t>LochinvarAHP250</t>
  </si>
  <si>
    <t>AOSmithAHPA25</t>
  </si>
  <si>
    <t>AOSmithAHPA60</t>
  </si>
  <si>
    <t>AOSmithAHPA90</t>
  </si>
  <si>
    <t>AOSmithAHPA125</t>
  </si>
  <si>
    <t>AOSmithAHPA185</t>
  </si>
  <si>
    <t>AOSmithAHPA250</t>
  </si>
  <si>
    <t>StateSHPA25</t>
  </si>
  <si>
    <t>StateSHPA60</t>
  </si>
  <si>
    <t>StateSHPA90</t>
  </si>
  <si>
    <t>StateSHPA125</t>
  </si>
  <si>
    <t>StateSHPA185</t>
  </si>
  <si>
    <t>StateSHPA250</t>
  </si>
  <si>
    <t>LochinvarAHP060C</t>
  </si>
  <si>
    <t>LochinvarAHP090C</t>
  </si>
  <si>
    <t>LochinvarAHP125C</t>
  </si>
  <si>
    <t>LochinvarAHP185C</t>
  </si>
  <si>
    <t>LochinvarAHP250C</t>
  </si>
  <si>
    <t>AOSmithAHPA60C</t>
  </si>
  <si>
    <t>AOSmithAHPA90C</t>
  </si>
  <si>
    <t>AOSmithAHPA125C</t>
  </si>
  <si>
    <t>AOSmithAHPA185C</t>
  </si>
  <si>
    <t>AOSmithAHPA250C</t>
  </si>
  <si>
    <t>StateSHPA60C</t>
  </si>
  <si>
    <t>StateSHPA90C</t>
  </si>
  <si>
    <t>StateSHPA125C</t>
  </si>
  <si>
    <t>StateSHPA185C</t>
  </si>
  <si>
    <t>StateSHPA250C</t>
  </si>
  <si>
    <t>Generic5kW</t>
  </si>
  <si>
    <t>Generic11kW</t>
  </si>
  <si>
    <t>Generic20kW</t>
  </si>
  <si>
    <t>Generic26kW</t>
  </si>
  <si>
    <t>Generic40kW</t>
  </si>
  <si>
    <t>Generic45kW</t>
  </si>
  <si>
    <t>(report mapping error)</t>
  </si>
  <si>
    <t>ColmacCxV5MP</t>
  </si>
  <si>
    <t>ColmacCxA10MP</t>
  </si>
  <si>
    <t>ColmacCxA15MP</t>
  </si>
  <si>
    <t>ColmacCxA20MP</t>
  </si>
  <si>
    <t>ColmacCxA25MP</t>
  </si>
  <si>
    <t>ColmacCxA30MP</t>
  </si>
  <si>
    <t>RheemHPHD60HNUMP</t>
  </si>
  <si>
    <t>RheemHPHD60VNUMP</t>
  </si>
  <si>
    <t>RheemHPHD135HNUMP</t>
  </si>
  <si>
    <t>RheemHPHD135VNUMP</t>
  </si>
  <si>
    <t>NyleC60AMP</t>
  </si>
  <si>
    <t>NyleC90AMP</t>
  </si>
  <si>
    <t>NyleC125AMP</t>
  </si>
  <si>
    <t>NyleC185AMP</t>
  </si>
  <si>
    <t>NyleC250AMP</t>
  </si>
  <si>
    <t>NyleC60A_CMP</t>
  </si>
  <si>
    <t>NyleC90A_CMP</t>
  </si>
  <si>
    <t>NyleC125A_CMP</t>
  </si>
  <si>
    <t>NyleC185A_CMP</t>
  </si>
  <si>
    <t>NyleC250A_CMP</t>
  </si>
  <si>
    <t>LochinvarAHP060MP</t>
  </si>
  <si>
    <t>LochinvarAHP090MP</t>
  </si>
  <si>
    <t>LochinvarAHP125MP</t>
  </si>
  <si>
    <t>LochinvarAHP185MP</t>
  </si>
  <si>
    <t>LochinvarAHP250MP</t>
  </si>
  <si>
    <t>AOSmithAHPA60MP</t>
  </si>
  <si>
    <t>AOSmithAHPA90MP</t>
  </si>
  <si>
    <t>AOSmithAHPA125MP</t>
  </si>
  <si>
    <t>AOSmithAHPA185MP</t>
  </si>
  <si>
    <t>AOSmithAHPA250MP</t>
  </si>
  <si>
    <t>StateSHPA60MP</t>
  </si>
  <si>
    <t>StateSHPA90MP</t>
  </si>
  <si>
    <t>StateSHPA125MP</t>
  </si>
  <si>
    <t>StateSHPA185MP</t>
  </si>
  <si>
    <t>StateSHPA250MP</t>
  </si>
  <si>
    <t>LochinvarAHP060CMP</t>
  </si>
  <si>
    <t>LochinvarAHP090CMP</t>
  </si>
  <si>
    <t>LochinvarAHP125CMP</t>
  </si>
  <si>
    <t>LochinvarAHP185CMP</t>
  </si>
  <si>
    <t>LochinvarAHP250CMP</t>
  </si>
  <si>
    <t>AOSmithAHPA60CMP</t>
  </si>
  <si>
    <t>AOSmithAHPA90CMP</t>
  </si>
  <si>
    <t>AOSmithAHPA125CMP</t>
  </si>
  <si>
    <t>AOSmithAHPA185CMP</t>
  </si>
  <si>
    <t>AOSmithAHPA250CMP</t>
  </si>
  <si>
    <t>StateSHPA60CMP</t>
  </si>
  <si>
    <t>StateSHPA90CMP</t>
  </si>
  <si>
    <t>StateSHPA125CMP</t>
  </si>
  <si>
    <t>StateSHPA185CMP</t>
  </si>
  <si>
    <t>StateSHPA250CMP</t>
  </si>
  <si>
    <t>IceAir_ccHPWH275</t>
  </si>
  <si>
    <t>IceAir_ccHPWH550</t>
  </si>
  <si>
    <t>AOSmithCAHP2CO6</t>
  </si>
  <si>
    <t>StateCAHP2CO6</t>
  </si>
  <si>
    <t>AmericanCAHP2CO6</t>
  </si>
  <si>
    <t>LochinvarCAHP2CO6</t>
  </si>
  <si>
    <t>AOSmithCAHP3CO6</t>
  </si>
  <si>
    <t>StateCAHP3CO6</t>
  </si>
  <si>
    <t>AmericanCAHP3CO6</t>
  </si>
  <si>
    <t>LochinvarCAHP3CO6</t>
  </si>
  <si>
    <t>LaarsECHV0325</t>
  </si>
  <si>
    <t>BradfordWhiteCHEV0325</t>
  </si>
  <si>
    <t>NyleE360</t>
  </si>
  <si>
    <t>NyleE180</t>
  </si>
  <si>
    <t>LyncAegis500A</t>
  </si>
  <si>
    <t>RheemRMHPHDA068VD</t>
  </si>
  <si>
    <t>RheemRMHPHDA120VD</t>
  </si>
  <si>
    <t>RaypackRMHPHDA068VD</t>
  </si>
  <si>
    <t>RaypackRMHPHDA120VD</t>
  </si>
  <si>
    <t>RuudRMHPHDA068VD</t>
  </si>
  <si>
    <t>RuudRMHPHDA120VD</t>
  </si>
  <si>
    <t>RheemRMHPHDA068VDMP</t>
  </si>
  <si>
    <t>RheemRMHPHDA120VDMP</t>
  </si>
  <si>
    <t>RaypackRMHPHDA068VDMP</t>
  </si>
  <si>
    <t>RaypackRMHPHDA120VDMP</t>
  </si>
  <si>
    <t>RuudRMHPHDA068VDMP</t>
  </si>
  <si>
    <t>RuudRMHPHDA120VDMP</t>
  </si>
  <si>
    <t>08/03/26 - SAC - added new AOSmith, Laars, Nyle &amp; Watts (and placeholder Rheem) models -AND- CHPWHCompTypeRpt column (to avoid having to edit rule logic for each added CHPWH) (dev #965)</t>
  </si>
  <si>
    <t>Rheem RMHPHDA068VD  (20kW cap @ 40F)</t>
  </si>
  <si>
    <t>Rheem RMHPHDA120VD  (24kW cap @ 40F)</t>
  </si>
  <si>
    <t>Raypack RMHPHDA068VD  (20kW cap @ 40F)</t>
  </si>
  <si>
    <t>Raypack RMHPHDA120VD  (24kW cap @ 40F)</t>
  </si>
  <si>
    <t>Ruud RMHPHDA068VD  (20kW cap @ 40F)</t>
  </si>
  <si>
    <t>Ruud RMHPHDA120VD  (24kW cap @ 40F)</t>
  </si>
  <si>
    <t>Rheem RMHPHDA068VD  (MP, 17kW cap @ 40F)</t>
  </si>
  <si>
    <t>Rheem RMHPHDA120VD  (MP, 28kW cap @ 40F)</t>
  </si>
  <si>
    <t>Raypack RMHPHDA068VD  (MP, 17kW cap @ 40F)</t>
  </si>
  <si>
    <t>Raypack RMHPHDA120VD  (MP, 28kW cap @ 40F)</t>
  </si>
  <si>
    <t>Ruud RMHPHDA068VD  (MP, 17kW cap @ 40F)</t>
  </si>
  <si>
    <t>Ruud RMHPHDA120VD  (MP, 28kW cap @ 40F)</t>
  </si>
  <si>
    <t>A. O. Smith CAHP2CO-6  (10kW cap @ 40F)</t>
  </si>
  <si>
    <t>A. O. Smith CAHP3CO-6  (15kW cap @ 40F)</t>
  </si>
  <si>
    <t>08/03/26 - SAC (dev #965)  / renamed for consistency (A.O. -&gt; A. O.) - SAC 09/14/26 (#1114)</t>
  </si>
  <si>
    <t>09/14/26 - SAC</t>
  </si>
  <si>
    <t>09/14/26 - SAC - minor brand renaming for consistency w/ prior entries (AOSmith) (dev #1114)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</si>
</sst>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1" fillId="0" borderId="4" xfId="0" applyFont="1" applyBorder="1"/>
    <xf numFmtId="0" fontId="0" fillId="0" borderId="10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2" xfId="0" applyBorder="1"/>
    <xf numFmtId="0" fontId="0" fillId="3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6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61AC-8F54-43FE-9249-2CA51C7B791C}">
  <dimension ref="A1:M162"/>
  <sheetViews>
    <sheetView tabSelected="1" zoomScaleNormal="100" workbookViewId="0">
      <selection activeCell="E11" sqref="E11"/>
    </sheetView>
  </sheetViews>
  <sheetFormatPr defaultRowHeight="15" x14ac:dyDescent="0.25"/>
  <cols>
    <col min="1" max="1" width="3.5703125" customWidth="1"/>
    <col min="2" max="2" width="5.5703125" customWidth="1"/>
    <col min="3" max="3" width="17.42578125" customWidth="1"/>
    <col min="4" max="4" width="12.85546875" customWidth="1"/>
    <col min="5" max="5" width="28.5703125" style="27" customWidth="1"/>
    <col min="6" max="6" width="2.85546875" customWidth="1"/>
    <col min="7" max="7" width="31.5703125" bestFit="1" customWidth="1"/>
    <col min="8" max="8" width="49.7109375" customWidth="1"/>
    <col min="9" max="9" width="4.28515625" customWidth="1"/>
    <col min="11" max="11" width="35.85546875" customWidth="1"/>
    <col min="12" max="12" width="10.5703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7</v>
      </c>
    </row>
    <row r="3" spans="1:4" x14ac:dyDescent="0.25">
      <c r="A3" t="s">
        <v>0</v>
      </c>
      <c r="B3" t="s">
        <v>2</v>
      </c>
      <c r="D3" t="s">
        <v>341</v>
      </c>
    </row>
    <row r="4" spans="1:4" x14ac:dyDescent="0.25">
      <c r="A4" t="s">
        <v>0</v>
      </c>
    </row>
    <row r="5" spans="1:4" x14ac:dyDescent="0.25">
      <c r="A5" t="s">
        <v>0</v>
      </c>
      <c r="B5" t="s">
        <v>3</v>
      </c>
      <c r="D5" t="s">
        <v>9</v>
      </c>
    </row>
    <row r="6" spans="1:4" x14ac:dyDescent="0.25">
      <c r="A6" t="s">
        <v>0</v>
      </c>
    </row>
    <row r="7" spans="1:4" x14ac:dyDescent="0.25">
      <c r="A7" t="s">
        <v>0</v>
      </c>
      <c r="B7" t="s">
        <v>4</v>
      </c>
      <c r="D7" t="s">
        <v>342</v>
      </c>
    </row>
    <row r="8" spans="1:4" x14ac:dyDescent="0.25">
      <c r="A8" t="s">
        <v>0</v>
      </c>
      <c r="D8" t="s">
        <v>325</v>
      </c>
    </row>
    <row r="9" spans="1:4" x14ac:dyDescent="0.25">
      <c r="A9" t="s">
        <v>0</v>
      </c>
      <c r="D9" t="s">
        <v>160</v>
      </c>
    </row>
    <row r="10" spans="1:4" x14ac:dyDescent="0.25">
      <c r="A10" t="s">
        <v>0</v>
      </c>
      <c r="D10" t="s">
        <v>159</v>
      </c>
    </row>
    <row r="11" spans="1:4" x14ac:dyDescent="0.25">
      <c r="A11" t="s">
        <v>0</v>
      </c>
      <c r="D11" t="s">
        <v>155</v>
      </c>
    </row>
    <row r="12" spans="1:4" x14ac:dyDescent="0.25">
      <c r="A12" t="s">
        <v>0</v>
      </c>
      <c r="D12" t="s">
        <v>103</v>
      </c>
    </row>
    <row r="13" spans="1:4" x14ac:dyDescent="0.25">
      <c r="A13" t="s">
        <v>0</v>
      </c>
      <c r="D13" t="s">
        <v>102</v>
      </c>
    </row>
    <row r="14" spans="1:4" x14ac:dyDescent="0.25">
      <c r="A14" t="s">
        <v>0</v>
      </c>
      <c r="D14" t="s">
        <v>80</v>
      </c>
    </row>
    <row r="15" spans="1:4" x14ac:dyDescent="0.25">
      <c r="A15" t="s">
        <v>0</v>
      </c>
      <c r="D15" t="s">
        <v>8</v>
      </c>
    </row>
    <row r="16" spans="1:4" x14ac:dyDescent="0.25">
      <c r="A16" t="s">
        <v>0</v>
      </c>
    </row>
    <row r="17" spans="1:12" x14ac:dyDescent="0.25">
      <c r="A17" t="s">
        <v>0</v>
      </c>
      <c r="B17" t="s">
        <v>5</v>
      </c>
      <c r="J17" s="13" t="s">
        <v>33</v>
      </c>
      <c r="K17" s="6"/>
      <c r="L17" s="7"/>
    </row>
    <row r="18" spans="1:12" x14ac:dyDescent="0.25">
      <c r="A18" t="s">
        <v>0</v>
      </c>
      <c r="C18" s="1">
        <v>1</v>
      </c>
      <c r="D18" t="s">
        <v>77</v>
      </c>
      <c r="J18" s="10" t="s">
        <v>31</v>
      </c>
      <c r="K18" s="11" t="s">
        <v>32</v>
      </c>
      <c r="L18" s="14" t="s">
        <v>12</v>
      </c>
    </row>
    <row r="19" spans="1:12" x14ac:dyDescent="0.25">
      <c r="A19" t="s">
        <v>0</v>
      </c>
      <c r="C19" s="1"/>
      <c r="J19" s="8">
        <v>48</v>
      </c>
      <c r="K19" t="s">
        <v>13</v>
      </c>
      <c r="L19" s="9">
        <v>14</v>
      </c>
    </row>
    <row r="20" spans="1:12" x14ac:dyDescent="0.25">
      <c r="A20" t="s">
        <v>0</v>
      </c>
      <c r="B20" t="s">
        <v>6</v>
      </c>
      <c r="C20" s="1"/>
      <c r="J20" s="8">
        <v>49</v>
      </c>
      <c r="K20" t="s">
        <v>14</v>
      </c>
      <c r="L20" s="9">
        <v>21</v>
      </c>
    </row>
    <row r="21" spans="1:12" x14ac:dyDescent="0.25">
      <c r="A21" t="s">
        <v>0</v>
      </c>
      <c r="C21" s="1">
        <v>1</v>
      </c>
      <c r="D21" t="s">
        <v>78</v>
      </c>
      <c r="J21" s="8">
        <v>50</v>
      </c>
      <c r="K21" t="s">
        <v>15</v>
      </c>
      <c r="L21" s="9">
        <v>29</v>
      </c>
    </row>
    <row r="22" spans="1:12" x14ac:dyDescent="0.25">
      <c r="A22" t="s">
        <v>0</v>
      </c>
      <c r="C22" s="1"/>
      <c r="J22" s="8">
        <v>45</v>
      </c>
      <c r="K22" t="s">
        <v>16</v>
      </c>
      <c r="L22" s="9">
        <v>41</v>
      </c>
    </row>
    <row r="23" spans="1:12" x14ac:dyDescent="0.25">
      <c r="A23" t="s">
        <v>0</v>
      </c>
      <c r="C23" s="1"/>
      <c r="D23" s="1"/>
      <c r="J23" s="8">
        <v>51</v>
      </c>
      <c r="K23" t="s">
        <v>17</v>
      </c>
      <c r="L23" s="9">
        <v>49</v>
      </c>
    </row>
    <row r="24" spans="1:12" x14ac:dyDescent="0.25">
      <c r="B24" t="s">
        <v>10</v>
      </c>
      <c r="D24" s="2"/>
      <c r="J24" s="8">
        <v>52</v>
      </c>
      <c r="K24" t="s">
        <v>18</v>
      </c>
      <c r="L24" s="9">
        <v>57</v>
      </c>
    </row>
    <row r="25" spans="1:12" x14ac:dyDescent="0.25">
      <c r="C25" s="3" t="s">
        <v>11</v>
      </c>
      <c r="D25" s="4" t="s">
        <v>12</v>
      </c>
      <c r="E25" s="5" t="s">
        <v>188</v>
      </c>
      <c r="F25" s="5"/>
      <c r="G25" s="3" t="s">
        <v>72</v>
      </c>
      <c r="H25" s="3" t="s">
        <v>73</v>
      </c>
      <c r="J25" s="8">
        <v>53</v>
      </c>
      <c r="K25" t="s">
        <v>19</v>
      </c>
      <c r="L25" s="9">
        <v>5</v>
      </c>
    </row>
    <row r="26" spans="1:12" x14ac:dyDescent="0.25">
      <c r="C26" s="1">
        <v>48</v>
      </c>
      <c r="D26" s="20">
        <f t="shared" ref="D26:D57" si="0">VLOOKUP( MOD(C26,100), $J$19:$L$67, 3, FALSE )</f>
        <v>14</v>
      </c>
      <c r="E26" s="27" t="s">
        <v>189</v>
      </c>
      <c r="F26" s="15" t="s">
        <v>0</v>
      </c>
      <c r="G26" t="s">
        <v>13</v>
      </c>
      <c r="H26" t="str">
        <f t="shared" ref="H26:H57" si="1" xml:space="preserve"> G26 &amp; "  (" &amp; D26 &amp; "kW cap @ 40F)"</f>
        <v>Colmac CxV-5  (14kW cap @ 40F)</v>
      </c>
      <c r="J26" s="8">
        <v>54</v>
      </c>
      <c r="K26" t="s">
        <v>20</v>
      </c>
      <c r="L26" s="9">
        <v>11</v>
      </c>
    </row>
    <row r="27" spans="1:12" x14ac:dyDescent="0.25">
      <c r="C27" s="1">
        <v>49</v>
      </c>
      <c r="D27" s="8">
        <f t="shared" si="0"/>
        <v>21</v>
      </c>
      <c r="E27" s="27" t="s">
        <v>190</v>
      </c>
      <c r="F27" s="15" t="s">
        <v>0</v>
      </c>
      <c r="G27" t="s">
        <v>14</v>
      </c>
      <c r="H27" t="str">
        <f t="shared" si="1"/>
        <v>Colmac CxA-10  (21kW cap @ 40F)</v>
      </c>
      <c r="J27" s="8">
        <v>55</v>
      </c>
      <c r="K27" t="s">
        <v>21</v>
      </c>
      <c r="L27" s="9">
        <v>20</v>
      </c>
    </row>
    <row r="28" spans="1:12" x14ac:dyDescent="0.25">
      <c r="C28" s="1">
        <v>50</v>
      </c>
      <c r="D28" s="8">
        <f t="shared" si="0"/>
        <v>29</v>
      </c>
      <c r="E28" s="27" t="s">
        <v>191</v>
      </c>
      <c r="F28" s="15" t="s">
        <v>0</v>
      </c>
      <c r="G28" t="s">
        <v>15</v>
      </c>
      <c r="H28" t="str">
        <f t="shared" si="1"/>
        <v>Colmac CxA-15  (29kW cap @ 40F)</v>
      </c>
      <c r="J28" s="8">
        <v>56</v>
      </c>
      <c r="K28" t="s">
        <v>22</v>
      </c>
      <c r="L28" s="9">
        <v>26</v>
      </c>
    </row>
    <row r="29" spans="1:12" x14ac:dyDescent="0.25">
      <c r="C29" s="1">
        <v>45</v>
      </c>
      <c r="D29" s="8">
        <f t="shared" si="0"/>
        <v>41</v>
      </c>
      <c r="E29" s="27" t="s">
        <v>192</v>
      </c>
      <c r="F29" s="15" t="s">
        <v>0</v>
      </c>
      <c r="G29" t="s">
        <v>16</v>
      </c>
      <c r="H29" t="str">
        <f t="shared" si="1"/>
        <v>Colmac CxA-20  (41kW cap @ 40F)</v>
      </c>
      <c r="J29" s="8">
        <v>46</v>
      </c>
      <c r="K29" t="s">
        <v>23</v>
      </c>
      <c r="L29" s="9">
        <v>40</v>
      </c>
    </row>
    <row r="30" spans="1:12" x14ac:dyDescent="0.25">
      <c r="C30" s="1">
        <v>51</v>
      </c>
      <c r="D30" s="8">
        <f t="shared" si="0"/>
        <v>49</v>
      </c>
      <c r="E30" s="27" t="s">
        <v>193</v>
      </c>
      <c r="F30" s="15" t="s">
        <v>0</v>
      </c>
      <c r="G30" t="s">
        <v>17</v>
      </c>
      <c r="H30" t="str">
        <f t="shared" si="1"/>
        <v>Colmac CxA-25  (49kW cap @ 40F)</v>
      </c>
      <c r="J30" s="8">
        <v>47</v>
      </c>
      <c r="K30" t="s">
        <v>24</v>
      </c>
      <c r="L30" s="9">
        <v>45</v>
      </c>
    </row>
    <row r="31" spans="1:12" x14ac:dyDescent="0.25">
      <c r="C31" s="1">
        <v>52</v>
      </c>
      <c r="D31" s="8">
        <f t="shared" si="0"/>
        <v>57</v>
      </c>
      <c r="E31" s="27" t="s">
        <v>194</v>
      </c>
      <c r="F31" s="15" t="s">
        <v>0</v>
      </c>
      <c r="G31" t="s">
        <v>18</v>
      </c>
      <c r="H31" t="str">
        <f t="shared" si="1"/>
        <v>Colmac CxA-30  (57kW cap @ 40F)</v>
      </c>
      <c r="J31" s="8">
        <v>67</v>
      </c>
      <c r="K31" t="s">
        <v>25</v>
      </c>
      <c r="L31" s="9">
        <v>11</v>
      </c>
    </row>
    <row r="32" spans="1:12" x14ac:dyDescent="0.25">
      <c r="C32" s="1">
        <v>53</v>
      </c>
      <c r="D32" s="8">
        <f t="shared" si="0"/>
        <v>5</v>
      </c>
      <c r="E32" s="27" t="s">
        <v>195</v>
      </c>
      <c r="F32" s="15" t="s">
        <v>0</v>
      </c>
      <c r="G32" t="s">
        <v>19</v>
      </c>
      <c r="H32" t="str">
        <f t="shared" si="1"/>
        <v>Nyle C25A  (5kW cap @ 40F)</v>
      </c>
      <c r="J32" s="8">
        <v>68</v>
      </c>
      <c r="K32" t="s">
        <v>26</v>
      </c>
      <c r="L32" s="9">
        <v>20</v>
      </c>
    </row>
    <row r="33" spans="3:13" x14ac:dyDescent="0.25">
      <c r="C33" s="1">
        <v>54</v>
      </c>
      <c r="D33" s="8">
        <f t="shared" si="0"/>
        <v>11</v>
      </c>
      <c r="E33" s="27" t="s">
        <v>196</v>
      </c>
      <c r="F33" s="15" t="s">
        <v>0</v>
      </c>
      <c r="G33" t="s">
        <v>20</v>
      </c>
      <c r="H33" t="str">
        <f t="shared" si="1"/>
        <v>Nyle C60A  (11kW cap @ 40F)</v>
      </c>
      <c r="J33" s="8">
        <v>69</v>
      </c>
      <c r="K33" t="s">
        <v>27</v>
      </c>
      <c r="L33" s="9">
        <v>26</v>
      </c>
    </row>
    <row r="34" spans="3:13" x14ac:dyDescent="0.25">
      <c r="C34" s="1">
        <v>55</v>
      </c>
      <c r="D34" s="8">
        <f t="shared" si="0"/>
        <v>20</v>
      </c>
      <c r="E34" s="27" t="s">
        <v>197</v>
      </c>
      <c r="F34" s="15" t="s">
        <v>0</v>
      </c>
      <c r="G34" t="s">
        <v>21</v>
      </c>
      <c r="H34" t="str">
        <f t="shared" si="1"/>
        <v>Nyle C90A  (20kW cap @ 40F)</v>
      </c>
      <c r="J34" s="8">
        <v>70</v>
      </c>
      <c r="K34" t="s">
        <v>28</v>
      </c>
      <c r="L34" s="9">
        <v>40</v>
      </c>
    </row>
    <row r="35" spans="3:13" x14ac:dyDescent="0.25">
      <c r="C35" s="1">
        <v>56</v>
      </c>
      <c r="D35" s="8">
        <f t="shared" si="0"/>
        <v>26</v>
      </c>
      <c r="E35" s="27" t="s">
        <v>198</v>
      </c>
      <c r="F35" s="15" t="s">
        <v>0</v>
      </c>
      <c r="G35" t="s">
        <v>22</v>
      </c>
      <c r="H35" t="str">
        <f t="shared" si="1"/>
        <v>Nyle C125A  (26kW cap @ 40F)</v>
      </c>
      <c r="J35" s="8">
        <v>71</v>
      </c>
      <c r="K35" t="s">
        <v>29</v>
      </c>
      <c r="L35" s="9">
        <v>45</v>
      </c>
    </row>
    <row r="36" spans="3:13" x14ac:dyDescent="0.25">
      <c r="C36" s="1">
        <v>46</v>
      </c>
      <c r="D36" s="8">
        <f t="shared" si="0"/>
        <v>40</v>
      </c>
      <c r="E36" s="27" t="s">
        <v>199</v>
      </c>
      <c r="F36" s="15" t="s">
        <v>0</v>
      </c>
      <c r="G36" t="s">
        <v>23</v>
      </c>
      <c r="H36" t="str">
        <f t="shared" si="1"/>
        <v>Nyle C185A  (40kW cap @ 40F)</v>
      </c>
      <c r="J36" s="8">
        <v>57</v>
      </c>
      <c r="K36" t="s">
        <v>30</v>
      </c>
      <c r="L36" s="9">
        <v>4</v>
      </c>
    </row>
    <row r="37" spans="3:13" x14ac:dyDescent="0.25">
      <c r="C37" s="1">
        <v>47</v>
      </c>
      <c r="D37" s="8">
        <f t="shared" si="0"/>
        <v>45</v>
      </c>
      <c r="E37" s="27" t="s">
        <v>200</v>
      </c>
      <c r="F37" s="15" t="s">
        <v>0</v>
      </c>
      <c r="G37" t="s">
        <v>24</v>
      </c>
      <c r="H37" t="str">
        <f t="shared" si="1"/>
        <v>Nyle C250A  (45kW cap @ 40F)</v>
      </c>
      <c r="J37" s="8">
        <v>5</v>
      </c>
      <c r="K37" t="s">
        <v>105</v>
      </c>
      <c r="L37" s="9">
        <v>11</v>
      </c>
    </row>
    <row r="38" spans="3:13" x14ac:dyDescent="0.25">
      <c r="C38" s="1">
        <v>67</v>
      </c>
      <c r="D38" s="8">
        <f t="shared" si="0"/>
        <v>11</v>
      </c>
      <c r="E38" s="27" t="s">
        <v>201</v>
      </c>
      <c r="F38" s="15" t="s">
        <v>0</v>
      </c>
      <c r="G38" t="s">
        <v>37</v>
      </c>
      <c r="H38" t="str">
        <f t="shared" si="1"/>
        <v>Nyle C60A-C  (11kW cap @ 40F)</v>
      </c>
      <c r="J38" s="8">
        <v>6</v>
      </c>
      <c r="K38" t="s">
        <v>106</v>
      </c>
      <c r="L38" s="9">
        <v>20</v>
      </c>
    </row>
    <row r="39" spans="3:13" x14ac:dyDescent="0.25">
      <c r="C39" s="1">
        <v>68</v>
      </c>
      <c r="D39" s="8">
        <f t="shared" si="0"/>
        <v>20</v>
      </c>
      <c r="E39" s="27" t="s">
        <v>202</v>
      </c>
      <c r="F39" s="15" t="s">
        <v>0</v>
      </c>
      <c r="G39" t="s">
        <v>38</v>
      </c>
      <c r="H39" t="str">
        <f t="shared" si="1"/>
        <v>Nyle C90A-C  (20kW cap @ 40F)</v>
      </c>
      <c r="J39" s="8">
        <v>7</v>
      </c>
      <c r="K39" t="s">
        <v>107</v>
      </c>
      <c r="L39" s="9">
        <v>26</v>
      </c>
    </row>
    <row r="40" spans="3:13" x14ac:dyDescent="0.25">
      <c r="C40" s="1">
        <v>69</v>
      </c>
      <c r="D40" s="8">
        <f t="shared" si="0"/>
        <v>26</v>
      </c>
      <c r="E40" s="27" t="s">
        <v>203</v>
      </c>
      <c r="F40" s="15" t="s">
        <v>0</v>
      </c>
      <c r="G40" t="s">
        <v>34</v>
      </c>
      <c r="H40" t="str">
        <f t="shared" si="1"/>
        <v>Nyle C125A-C  (26kW cap @ 40F)</v>
      </c>
      <c r="J40" s="8">
        <v>8</v>
      </c>
      <c r="K40" t="s">
        <v>108</v>
      </c>
      <c r="L40" s="9">
        <v>41</v>
      </c>
    </row>
    <row r="41" spans="3:13" x14ac:dyDescent="0.25">
      <c r="C41" s="1">
        <v>70</v>
      </c>
      <c r="D41" s="8">
        <f t="shared" si="0"/>
        <v>40</v>
      </c>
      <c r="E41" s="27" t="s">
        <v>204</v>
      </c>
      <c r="F41" s="15" t="s">
        <v>0</v>
      </c>
      <c r="G41" t="s">
        <v>35</v>
      </c>
      <c r="H41" t="str">
        <f t="shared" si="1"/>
        <v>Nyle C185A-C  (40kW cap @ 40F)</v>
      </c>
      <c r="J41" s="8">
        <v>9</v>
      </c>
      <c r="K41" t="s">
        <v>109</v>
      </c>
      <c r="L41" s="9">
        <v>46</v>
      </c>
    </row>
    <row r="42" spans="3:13" x14ac:dyDescent="0.25">
      <c r="C42" s="1">
        <v>71</v>
      </c>
      <c r="D42" s="8">
        <f t="shared" si="0"/>
        <v>45</v>
      </c>
      <c r="E42" s="27" t="s">
        <v>205</v>
      </c>
      <c r="F42" s="15" t="s">
        <v>0</v>
      </c>
      <c r="G42" t="s">
        <v>36</v>
      </c>
      <c r="H42" t="str">
        <f t="shared" si="1"/>
        <v>Nyle C250A-C  (45kW cap @ 40F)</v>
      </c>
      <c r="J42" s="8">
        <v>25</v>
      </c>
      <c r="K42" t="s">
        <v>110</v>
      </c>
      <c r="L42" s="9">
        <v>11</v>
      </c>
    </row>
    <row r="43" spans="3:13" x14ac:dyDescent="0.25">
      <c r="C43" s="1">
        <v>57</v>
      </c>
      <c r="D43" s="8">
        <f t="shared" si="0"/>
        <v>4</v>
      </c>
      <c r="E43" s="27" t="s">
        <v>206</v>
      </c>
      <c r="F43" s="15" t="s">
        <v>0</v>
      </c>
      <c r="G43" t="s">
        <v>30</v>
      </c>
      <c r="H43" t="str">
        <f t="shared" si="1"/>
        <v>Sanden GS3-45HPA-US  (4kW cap @ 40F)</v>
      </c>
      <c r="J43" s="8">
        <v>26</v>
      </c>
      <c r="K43" t="s">
        <v>111</v>
      </c>
      <c r="L43" s="9">
        <v>20</v>
      </c>
    </row>
    <row r="44" spans="3:13" x14ac:dyDescent="0.25">
      <c r="C44" s="1">
        <v>10</v>
      </c>
      <c r="D44" s="8">
        <f t="shared" si="0"/>
        <v>40</v>
      </c>
      <c r="E44" s="27" t="s">
        <v>207</v>
      </c>
      <c r="F44" s="15" t="s">
        <v>0</v>
      </c>
      <c r="G44" s="22" t="s">
        <v>158</v>
      </c>
      <c r="H44" s="22" t="str">
        <f t="shared" si="1"/>
        <v>Mitsubishi QAHV-N136TAU-HPB  (40kW cap @ 40F)</v>
      </c>
      <c r="J44" s="8">
        <v>27</v>
      </c>
      <c r="K44" t="s">
        <v>112</v>
      </c>
      <c r="L44" s="9">
        <v>26</v>
      </c>
    </row>
    <row r="45" spans="3:13" x14ac:dyDescent="0.25">
      <c r="C45" s="1">
        <v>153</v>
      </c>
      <c r="D45" s="8">
        <f t="shared" si="0"/>
        <v>5</v>
      </c>
      <c r="E45" s="27" t="s">
        <v>208</v>
      </c>
      <c r="F45" s="15" t="s">
        <v>0</v>
      </c>
      <c r="G45" t="s">
        <v>39</v>
      </c>
      <c r="H45" t="str">
        <f t="shared" si="1"/>
        <v>Lochinvar AHP025-*-***N****  (5kW cap @ 40F)</v>
      </c>
      <c r="J45" s="8">
        <v>28</v>
      </c>
      <c r="K45" t="s">
        <v>113</v>
      </c>
      <c r="L45" s="9">
        <v>41</v>
      </c>
    </row>
    <row r="46" spans="3:13" x14ac:dyDescent="0.25">
      <c r="C46" s="1">
        <v>154</v>
      </c>
      <c r="D46" s="8">
        <f t="shared" si="0"/>
        <v>11</v>
      </c>
      <c r="E46" s="27" t="s">
        <v>209</v>
      </c>
      <c r="F46" s="15" t="s">
        <v>0</v>
      </c>
      <c r="G46" t="s">
        <v>40</v>
      </c>
      <c r="H46" t="str">
        <f t="shared" si="1"/>
        <v>Lochinvar AHP060-*-***N****  (11kW cap @ 40F)</v>
      </c>
      <c r="J46" s="8">
        <v>29</v>
      </c>
      <c r="K46" t="s">
        <v>114</v>
      </c>
      <c r="L46" s="9">
        <v>46</v>
      </c>
    </row>
    <row r="47" spans="3:13" x14ac:dyDescent="0.25">
      <c r="C47" s="1">
        <v>155</v>
      </c>
      <c r="D47" s="8">
        <f t="shared" si="0"/>
        <v>20</v>
      </c>
      <c r="E47" s="27" t="s">
        <v>210</v>
      </c>
      <c r="F47" s="15" t="s">
        <v>0</v>
      </c>
      <c r="G47" t="s">
        <v>41</v>
      </c>
      <c r="H47" t="str">
        <f t="shared" si="1"/>
        <v>Lochinvar AHP090-*-***N****  (20kW cap @ 40F)</v>
      </c>
      <c r="J47" s="8">
        <v>11</v>
      </c>
      <c r="K47" t="s">
        <v>161</v>
      </c>
      <c r="L47" s="9">
        <v>70</v>
      </c>
      <c r="M47" s="21" t="s">
        <v>163</v>
      </c>
    </row>
    <row r="48" spans="3:13" x14ac:dyDescent="0.25">
      <c r="C48" s="1">
        <v>156</v>
      </c>
      <c r="D48" s="8">
        <f t="shared" si="0"/>
        <v>26</v>
      </c>
      <c r="E48" s="27" t="s">
        <v>211</v>
      </c>
      <c r="F48" s="15" t="s">
        <v>0</v>
      </c>
      <c r="G48" t="s">
        <v>42</v>
      </c>
      <c r="H48" t="str">
        <f t="shared" si="1"/>
        <v>Lochinvar AHP125-*-***N****  (26kW cap @ 40F)</v>
      </c>
      <c r="J48" s="8">
        <v>12</v>
      </c>
      <c r="K48" t="s">
        <v>162</v>
      </c>
      <c r="L48" s="9">
        <v>140</v>
      </c>
      <c r="M48" s="21" t="s">
        <v>163</v>
      </c>
    </row>
    <row r="49" spans="3:13" x14ac:dyDescent="0.25">
      <c r="C49" s="1">
        <v>146</v>
      </c>
      <c r="D49" s="8">
        <f t="shared" si="0"/>
        <v>40</v>
      </c>
      <c r="E49" s="27" t="s">
        <v>212</v>
      </c>
      <c r="F49" s="15" t="s">
        <v>0</v>
      </c>
      <c r="G49" t="s">
        <v>43</v>
      </c>
      <c r="H49" t="str">
        <f t="shared" si="1"/>
        <v>Lochinvar AHP185-*-***N****  (40kW cap @ 40F)</v>
      </c>
      <c r="J49" s="8">
        <v>91</v>
      </c>
      <c r="K49" t="str">
        <f>"Generic-" &amp; L49</f>
        <v>Generic-5</v>
      </c>
      <c r="L49" s="9">
        <v>5</v>
      </c>
    </row>
    <row r="50" spans="3:13" x14ac:dyDescent="0.25">
      <c r="C50" s="1">
        <v>147</v>
      </c>
      <c r="D50" s="8">
        <f t="shared" si="0"/>
        <v>45</v>
      </c>
      <c r="E50" s="27" t="s">
        <v>213</v>
      </c>
      <c r="F50" s="15" t="s">
        <v>0</v>
      </c>
      <c r="G50" t="s">
        <v>44</v>
      </c>
      <c r="H50" t="str">
        <f t="shared" si="1"/>
        <v>Lochinvar AHP250-*-***N****  (45kW cap @ 40F)</v>
      </c>
      <c r="J50" s="8">
        <v>92</v>
      </c>
      <c r="K50" t="str">
        <f t="shared" ref="K50:K54" si="2">"Generic-" &amp; L50</f>
        <v>Generic-11</v>
      </c>
      <c r="L50" s="9">
        <v>11</v>
      </c>
    </row>
    <row r="51" spans="3:13" x14ac:dyDescent="0.25">
      <c r="C51" s="1">
        <v>253</v>
      </c>
      <c r="D51" s="8">
        <f t="shared" si="0"/>
        <v>5</v>
      </c>
      <c r="E51" s="27" t="s">
        <v>214</v>
      </c>
      <c r="F51" s="15" t="s">
        <v>0</v>
      </c>
      <c r="G51" t="s">
        <v>54</v>
      </c>
      <c r="H51" t="str">
        <f t="shared" si="1"/>
        <v>A. O. Smith AHPA-25-*-***N****  (5kW cap @ 40F)</v>
      </c>
      <c r="J51" s="8">
        <v>93</v>
      </c>
      <c r="K51" t="str">
        <f t="shared" si="2"/>
        <v>Generic-20</v>
      </c>
      <c r="L51" s="9">
        <v>20</v>
      </c>
    </row>
    <row r="52" spans="3:13" x14ac:dyDescent="0.25">
      <c r="C52" s="1">
        <v>254</v>
      </c>
      <c r="D52" s="8">
        <f t="shared" si="0"/>
        <v>11</v>
      </c>
      <c r="E52" s="27" t="s">
        <v>215</v>
      </c>
      <c r="F52" s="15" t="s">
        <v>0</v>
      </c>
      <c r="G52" t="s">
        <v>55</v>
      </c>
      <c r="H52" t="str">
        <f t="shared" si="1"/>
        <v>A. O. Smith AHPA-60-*-***N****  (11kW cap @ 40F)</v>
      </c>
      <c r="J52" s="8">
        <v>94</v>
      </c>
      <c r="K52" t="str">
        <f t="shared" si="2"/>
        <v>Generic-26</v>
      </c>
      <c r="L52" s="9">
        <v>26</v>
      </c>
    </row>
    <row r="53" spans="3:13" x14ac:dyDescent="0.25">
      <c r="C53" s="1">
        <v>255</v>
      </c>
      <c r="D53" s="8">
        <f t="shared" si="0"/>
        <v>20</v>
      </c>
      <c r="E53" s="27" t="s">
        <v>216</v>
      </c>
      <c r="F53" s="15" t="s">
        <v>0</v>
      </c>
      <c r="G53" t="s">
        <v>56</v>
      </c>
      <c r="H53" t="str">
        <f t="shared" si="1"/>
        <v>A. O. Smith AHPA-90-*-***N****  (20kW cap @ 40F)</v>
      </c>
      <c r="J53" s="8">
        <v>95</v>
      </c>
      <c r="K53" t="str">
        <f t="shared" si="2"/>
        <v>Generic-40</v>
      </c>
      <c r="L53" s="9">
        <v>40</v>
      </c>
      <c r="M53" s="21" t="s">
        <v>157</v>
      </c>
    </row>
    <row r="54" spans="3:13" x14ac:dyDescent="0.25">
      <c r="C54" s="1">
        <v>256</v>
      </c>
      <c r="D54" s="8">
        <f t="shared" si="0"/>
        <v>26</v>
      </c>
      <c r="E54" s="27" t="s">
        <v>217</v>
      </c>
      <c r="F54" s="15" t="s">
        <v>0</v>
      </c>
      <c r="G54" t="s">
        <v>45</v>
      </c>
      <c r="H54" t="str">
        <f t="shared" si="1"/>
        <v>A. O. Smith AHPA-125-*-***N****  (26kW cap @ 40F)</v>
      </c>
      <c r="J54" s="8">
        <v>96</v>
      </c>
      <c r="K54" t="str">
        <f t="shared" si="2"/>
        <v>Generic-45</v>
      </c>
      <c r="L54" s="9">
        <v>45</v>
      </c>
    </row>
    <row r="55" spans="3:13" x14ac:dyDescent="0.25">
      <c r="C55" s="1">
        <v>246</v>
      </c>
      <c r="D55" s="8">
        <f t="shared" si="0"/>
        <v>40</v>
      </c>
      <c r="E55" s="27" t="s">
        <v>218</v>
      </c>
      <c r="F55" s="15" t="s">
        <v>0</v>
      </c>
      <c r="G55" t="s">
        <v>46</v>
      </c>
      <c r="H55" t="str">
        <f t="shared" si="1"/>
        <v>A. O. Smith AHPA-185-*-***N****  (40kW cap @ 40F)</v>
      </c>
      <c r="J55" s="23">
        <v>10</v>
      </c>
      <c r="K55" s="22" t="s">
        <v>156</v>
      </c>
      <c r="L55" s="19">
        <v>40</v>
      </c>
    </row>
    <row r="56" spans="3:13" x14ac:dyDescent="0.25">
      <c r="C56" s="1">
        <v>247</v>
      </c>
      <c r="D56" s="8">
        <f t="shared" si="0"/>
        <v>45</v>
      </c>
      <c r="E56" s="27" t="s">
        <v>219</v>
      </c>
      <c r="F56" s="15" t="s">
        <v>0</v>
      </c>
      <c r="G56" t="s">
        <v>47</v>
      </c>
      <c r="H56" t="str">
        <f t="shared" si="1"/>
        <v>A. O. Smith AHPA-250-*-***N****  (45kW cap @ 40F)</v>
      </c>
      <c r="J56" s="24">
        <v>13</v>
      </c>
      <c r="K56" s="25" t="s">
        <v>166</v>
      </c>
      <c r="L56" s="26">
        <v>10</v>
      </c>
      <c r="M56" s="21" t="s">
        <v>176</v>
      </c>
    </row>
    <row r="57" spans="3:13" x14ac:dyDescent="0.25">
      <c r="C57" s="1">
        <v>353</v>
      </c>
      <c r="D57" s="8">
        <f t="shared" si="0"/>
        <v>5</v>
      </c>
      <c r="E57" s="27" t="s">
        <v>220</v>
      </c>
      <c r="F57" s="15" t="s">
        <v>0</v>
      </c>
      <c r="G57" t="s">
        <v>57</v>
      </c>
      <c r="H57" t="str">
        <f t="shared" si="1"/>
        <v>State SHPA-25-*-***N****  (5kW cap @ 40F)</v>
      </c>
      <c r="J57" s="24">
        <v>14</v>
      </c>
      <c r="K57" s="25" t="s">
        <v>167</v>
      </c>
      <c r="L57" s="26">
        <v>15</v>
      </c>
    </row>
    <row r="58" spans="3:13" x14ac:dyDescent="0.25">
      <c r="C58" s="1">
        <v>354</v>
      </c>
      <c r="D58" s="8">
        <f t="shared" ref="D58:D89" si="3">VLOOKUP( MOD(C58,100), $J$19:$L$67, 3, FALSE )</f>
        <v>11</v>
      </c>
      <c r="E58" s="27" t="s">
        <v>221</v>
      </c>
      <c r="F58" s="15" t="s">
        <v>0</v>
      </c>
      <c r="G58" t="s">
        <v>58</v>
      </c>
      <c r="H58" t="str">
        <f t="shared" ref="H58:H89" si="4" xml:space="preserve"> G58 &amp; "  (" &amp; D58 &amp; "kW cap @ 40F)"</f>
        <v>State SHPA-60-*-***N****  (11kW cap @ 40F)</v>
      </c>
      <c r="J58" s="24">
        <v>15</v>
      </c>
      <c r="K58" s="25" t="s">
        <v>168</v>
      </c>
      <c r="L58" s="26">
        <v>79</v>
      </c>
    </row>
    <row r="59" spans="3:13" x14ac:dyDescent="0.25">
      <c r="C59" s="1">
        <v>355</v>
      </c>
      <c r="D59" s="8">
        <f t="shared" si="3"/>
        <v>20</v>
      </c>
      <c r="E59" s="27" t="s">
        <v>222</v>
      </c>
      <c r="F59" s="15" t="s">
        <v>0</v>
      </c>
      <c r="G59" t="s">
        <v>59</v>
      </c>
      <c r="H59" t="str">
        <f t="shared" si="4"/>
        <v>State SHPA-90-*-***N****  (20kW cap @ 40F)</v>
      </c>
      <c r="J59" s="24">
        <v>16</v>
      </c>
      <c r="K59" s="25" t="s">
        <v>169</v>
      </c>
      <c r="L59" s="26">
        <v>48</v>
      </c>
    </row>
    <row r="60" spans="3:13" x14ac:dyDescent="0.25">
      <c r="C60" s="1">
        <v>356</v>
      </c>
      <c r="D60" s="8">
        <f t="shared" si="3"/>
        <v>26</v>
      </c>
      <c r="E60" s="27" t="s">
        <v>223</v>
      </c>
      <c r="F60" s="15" t="s">
        <v>0</v>
      </c>
      <c r="G60" t="s">
        <v>60</v>
      </c>
      <c r="H60" t="str">
        <f t="shared" si="4"/>
        <v>State SHPA-125-*-***N****  (26kW cap @ 40F)</v>
      </c>
      <c r="J60" s="24">
        <v>17</v>
      </c>
      <c r="K60" s="25" t="s">
        <v>170</v>
      </c>
      <c r="L60" s="26">
        <v>33</v>
      </c>
    </row>
    <row r="61" spans="3:13" x14ac:dyDescent="0.25">
      <c r="C61" s="1">
        <v>346</v>
      </c>
      <c r="D61" s="8">
        <f t="shared" si="3"/>
        <v>40</v>
      </c>
      <c r="E61" s="27" t="s">
        <v>224</v>
      </c>
      <c r="F61" s="15" t="s">
        <v>0</v>
      </c>
      <c r="G61" t="s">
        <v>61</v>
      </c>
      <c r="H61" t="str">
        <f t="shared" si="4"/>
        <v>State SHPA-185-*-***N****  (40kW cap @ 40F)</v>
      </c>
      <c r="J61" s="24">
        <v>18</v>
      </c>
      <c r="K61" s="25" t="s">
        <v>171</v>
      </c>
      <c r="L61" s="26">
        <v>109</v>
      </c>
    </row>
    <row r="62" spans="3:13" x14ac:dyDescent="0.25">
      <c r="C62" s="1">
        <v>347</v>
      </c>
      <c r="D62" s="8">
        <f t="shared" si="3"/>
        <v>45</v>
      </c>
      <c r="E62" s="27" t="s">
        <v>225</v>
      </c>
      <c r="F62" s="15" t="s">
        <v>0</v>
      </c>
      <c r="G62" t="s">
        <v>62</v>
      </c>
      <c r="H62" t="str">
        <f t="shared" si="4"/>
        <v>State SHPA-250-*-***N****  (45kW cap @ 40F)</v>
      </c>
      <c r="J62" s="24">
        <v>19</v>
      </c>
      <c r="K62" s="25" t="s">
        <v>172</v>
      </c>
      <c r="L62" s="29">
        <v>20</v>
      </c>
    </row>
    <row r="63" spans="3:13" x14ac:dyDescent="0.25">
      <c r="C63" s="1">
        <v>167</v>
      </c>
      <c r="D63" s="8">
        <f t="shared" si="3"/>
        <v>11</v>
      </c>
      <c r="E63" s="27" t="s">
        <v>226</v>
      </c>
      <c r="F63" s="15" t="s">
        <v>0</v>
      </c>
      <c r="G63" t="s">
        <v>63</v>
      </c>
      <c r="H63" t="str">
        <f t="shared" si="4"/>
        <v>Lochinvar AHP060-*-***C****  (11kW cap @ 40F)</v>
      </c>
      <c r="J63" s="24">
        <v>20</v>
      </c>
      <c r="K63" s="25" t="s">
        <v>173</v>
      </c>
      <c r="L63" s="29">
        <v>24</v>
      </c>
    </row>
    <row r="64" spans="3:13" x14ac:dyDescent="0.25">
      <c r="C64" s="1">
        <v>168</v>
      </c>
      <c r="D64" s="8">
        <f t="shared" si="3"/>
        <v>20</v>
      </c>
      <c r="E64" s="27" t="s">
        <v>227</v>
      </c>
      <c r="F64" s="15" t="s">
        <v>0</v>
      </c>
      <c r="G64" t="s">
        <v>64</v>
      </c>
      <c r="H64" t="str">
        <f t="shared" si="4"/>
        <v>Lochinvar AHP090-*-***C****  (20kW cap @ 40F)</v>
      </c>
      <c r="J64" s="24">
        <v>21</v>
      </c>
      <c r="K64" s="25" t="s">
        <v>174</v>
      </c>
      <c r="L64" s="29">
        <v>17</v>
      </c>
    </row>
    <row r="65" spans="3:12" x14ac:dyDescent="0.25">
      <c r="C65" s="1">
        <v>169</v>
      </c>
      <c r="D65" s="8">
        <f t="shared" si="3"/>
        <v>26</v>
      </c>
      <c r="E65" s="27" t="s">
        <v>228</v>
      </c>
      <c r="F65" s="15" t="s">
        <v>0</v>
      </c>
      <c r="G65" t="s">
        <v>65</v>
      </c>
      <c r="H65" t="str">
        <f t="shared" si="4"/>
        <v>Lochinvar AHP125-*-***C****  (26kW cap @ 40F)</v>
      </c>
      <c r="J65" s="24">
        <v>22</v>
      </c>
      <c r="K65" s="25" t="s">
        <v>175</v>
      </c>
      <c r="L65" s="29">
        <v>28</v>
      </c>
    </row>
    <row r="66" spans="3:12" x14ac:dyDescent="0.25">
      <c r="C66" s="1">
        <v>170</v>
      </c>
      <c r="D66" s="8">
        <f t="shared" si="3"/>
        <v>40</v>
      </c>
      <c r="E66" s="27" t="s">
        <v>229</v>
      </c>
      <c r="F66" s="15" t="s">
        <v>0</v>
      </c>
      <c r="G66" t="s">
        <v>66</v>
      </c>
      <c r="H66" t="str">
        <f t="shared" si="4"/>
        <v>Lochinvar AHP185-*-***C****  (40kW cap @ 40F)</v>
      </c>
      <c r="J66" s="8"/>
      <c r="L66" s="9"/>
    </row>
    <row r="67" spans="3:12" x14ac:dyDescent="0.25">
      <c r="C67" s="1">
        <v>171</v>
      </c>
      <c r="D67" s="8">
        <f t="shared" si="3"/>
        <v>45</v>
      </c>
      <c r="E67" s="27" t="s">
        <v>230</v>
      </c>
      <c r="F67" s="15" t="s">
        <v>0</v>
      </c>
      <c r="G67" t="s">
        <v>67</v>
      </c>
      <c r="H67" t="str">
        <f t="shared" si="4"/>
        <v>Lochinvar AHP250-*-***C****  (45kW cap @ 40F)</v>
      </c>
      <c r="J67" s="10"/>
      <c r="K67" s="11"/>
      <c r="L67" s="12"/>
    </row>
    <row r="68" spans="3:12" x14ac:dyDescent="0.25">
      <c r="C68" s="1">
        <v>267</v>
      </c>
      <c r="D68" s="8">
        <f t="shared" si="3"/>
        <v>11</v>
      </c>
      <c r="E68" s="27" t="s">
        <v>231</v>
      </c>
      <c r="F68" s="15" t="s">
        <v>0</v>
      </c>
      <c r="G68" t="s">
        <v>68</v>
      </c>
      <c r="H68" t="str">
        <f t="shared" si="4"/>
        <v>A. O. Smith AHPA-60-*-***C****  (11kW cap @ 40F)</v>
      </c>
    </row>
    <row r="69" spans="3:12" x14ac:dyDescent="0.25">
      <c r="C69" s="1">
        <v>268</v>
      </c>
      <c r="D69" s="8">
        <f t="shared" si="3"/>
        <v>20</v>
      </c>
      <c r="E69" s="27" t="s">
        <v>232</v>
      </c>
      <c r="F69" s="15" t="s">
        <v>0</v>
      </c>
      <c r="G69" t="s">
        <v>69</v>
      </c>
      <c r="H69" t="str">
        <f t="shared" si="4"/>
        <v>A. O. Smith AHPA-90-*-***C****  (20kW cap @ 40F)</v>
      </c>
    </row>
    <row r="70" spans="3:12" x14ac:dyDescent="0.25">
      <c r="C70" s="1">
        <v>269</v>
      </c>
      <c r="D70" s="8">
        <f t="shared" si="3"/>
        <v>26</v>
      </c>
      <c r="E70" s="27" t="s">
        <v>233</v>
      </c>
      <c r="F70" s="15" t="s">
        <v>0</v>
      </c>
      <c r="G70" t="s">
        <v>48</v>
      </c>
      <c r="H70" t="str">
        <f t="shared" si="4"/>
        <v>A. O. Smith AHPA-125-*-***C****  (26kW cap @ 40F)</v>
      </c>
    </row>
    <row r="71" spans="3:12" x14ac:dyDescent="0.25">
      <c r="C71" s="1">
        <v>270</v>
      </c>
      <c r="D71" s="8">
        <f t="shared" si="3"/>
        <v>40</v>
      </c>
      <c r="E71" s="27" t="s">
        <v>234</v>
      </c>
      <c r="F71" s="15" t="s">
        <v>0</v>
      </c>
      <c r="G71" t="s">
        <v>49</v>
      </c>
      <c r="H71" t="str">
        <f t="shared" si="4"/>
        <v>A. O. Smith AHPA-185-*-***C****  (40kW cap @ 40F)</v>
      </c>
    </row>
    <row r="72" spans="3:12" x14ac:dyDescent="0.25">
      <c r="C72" s="1">
        <v>271</v>
      </c>
      <c r="D72" s="8">
        <f t="shared" si="3"/>
        <v>45</v>
      </c>
      <c r="E72" s="27" t="s">
        <v>235</v>
      </c>
      <c r="F72" s="15" t="s">
        <v>0</v>
      </c>
      <c r="G72" t="s">
        <v>50</v>
      </c>
      <c r="H72" t="str">
        <f t="shared" si="4"/>
        <v>A. O. Smith AHPA-250-*-***C****  (45kW cap @ 40F)</v>
      </c>
    </row>
    <row r="73" spans="3:12" x14ac:dyDescent="0.25">
      <c r="C73" s="1">
        <v>367</v>
      </c>
      <c r="D73" s="8">
        <f t="shared" si="3"/>
        <v>11</v>
      </c>
      <c r="E73" s="27" t="s">
        <v>236</v>
      </c>
      <c r="F73" s="15" t="s">
        <v>0</v>
      </c>
      <c r="G73" t="s">
        <v>70</v>
      </c>
      <c r="H73" t="str">
        <f t="shared" si="4"/>
        <v>State SHPA-60-*-***C****  (11kW cap @ 40F)</v>
      </c>
    </row>
    <row r="74" spans="3:12" x14ac:dyDescent="0.25">
      <c r="C74" s="1">
        <v>368</v>
      </c>
      <c r="D74" s="8">
        <f t="shared" si="3"/>
        <v>20</v>
      </c>
      <c r="E74" s="27" t="s">
        <v>237</v>
      </c>
      <c r="F74" s="15" t="s">
        <v>0</v>
      </c>
      <c r="G74" t="s">
        <v>71</v>
      </c>
      <c r="H74" t="str">
        <f t="shared" si="4"/>
        <v>State SHPA-90-*-***C****  (20kW cap @ 40F)</v>
      </c>
    </row>
    <row r="75" spans="3:12" x14ac:dyDescent="0.25">
      <c r="C75" s="1">
        <v>369</v>
      </c>
      <c r="D75" s="8">
        <f t="shared" si="3"/>
        <v>26</v>
      </c>
      <c r="E75" s="27" t="s">
        <v>238</v>
      </c>
      <c r="F75" s="15" t="s">
        <v>0</v>
      </c>
      <c r="G75" t="s">
        <v>51</v>
      </c>
      <c r="H75" t="str">
        <f t="shared" si="4"/>
        <v>State SHPA-125-*-***C****  (26kW cap @ 40F)</v>
      </c>
    </row>
    <row r="76" spans="3:12" x14ac:dyDescent="0.25">
      <c r="C76" s="1">
        <v>370</v>
      </c>
      <c r="D76" s="8">
        <f t="shared" si="3"/>
        <v>40</v>
      </c>
      <c r="E76" s="27" t="s">
        <v>239</v>
      </c>
      <c r="F76" s="15" t="s">
        <v>0</v>
      </c>
      <c r="G76" t="s">
        <v>52</v>
      </c>
      <c r="H76" t="str">
        <f t="shared" si="4"/>
        <v>State SHPA-185-*-***C****  (40kW cap @ 40F)</v>
      </c>
    </row>
    <row r="77" spans="3:12" x14ac:dyDescent="0.25">
      <c r="C77" s="1">
        <v>371</v>
      </c>
      <c r="D77" s="8">
        <f t="shared" si="3"/>
        <v>45</v>
      </c>
      <c r="E77" s="27" t="s">
        <v>240</v>
      </c>
      <c r="F77" s="15" t="s">
        <v>0</v>
      </c>
      <c r="G77" t="s">
        <v>53</v>
      </c>
      <c r="H77" t="str">
        <f t="shared" si="4"/>
        <v>State SHPA-250-*-***C****  (45kW cap @ 40F)</v>
      </c>
    </row>
    <row r="78" spans="3:12" x14ac:dyDescent="0.25">
      <c r="C78" s="1">
        <v>77</v>
      </c>
      <c r="D78" s="8">
        <v>14</v>
      </c>
      <c r="E78" s="27" t="s">
        <v>248</v>
      </c>
      <c r="F78" s="15" t="s">
        <v>0</v>
      </c>
      <c r="G78" s="18" t="s">
        <v>86</v>
      </c>
      <c r="H78" s="18" t="s">
        <v>98</v>
      </c>
      <c r="I78" s="18" t="s">
        <v>91</v>
      </c>
    </row>
    <row r="79" spans="3:12" x14ac:dyDescent="0.25">
      <c r="C79" s="1">
        <v>78</v>
      </c>
      <c r="D79" s="8">
        <v>21</v>
      </c>
      <c r="E79" s="27" t="s">
        <v>249</v>
      </c>
      <c r="F79" s="15" t="s">
        <v>0</v>
      </c>
      <c r="G79" t="s">
        <v>81</v>
      </c>
      <c r="H79" t="s">
        <v>92</v>
      </c>
    </row>
    <row r="80" spans="3:12" x14ac:dyDescent="0.25">
      <c r="C80" s="1">
        <v>79</v>
      </c>
      <c r="D80" s="8">
        <v>29</v>
      </c>
      <c r="E80" s="27" t="s">
        <v>250</v>
      </c>
      <c r="F80" s="15" t="s">
        <v>0</v>
      </c>
      <c r="G80" t="s">
        <v>82</v>
      </c>
      <c r="H80" t="s">
        <v>93</v>
      </c>
    </row>
    <row r="81" spans="3:9" x14ac:dyDescent="0.25">
      <c r="C81" s="1">
        <v>80</v>
      </c>
      <c r="D81" s="8">
        <v>41</v>
      </c>
      <c r="E81" s="27" t="s">
        <v>251</v>
      </c>
      <c r="F81" s="15" t="s">
        <v>0</v>
      </c>
      <c r="G81" t="s">
        <v>83</v>
      </c>
      <c r="H81" t="s">
        <v>94</v>
      </c>
    </row>
    <row r="82" spans="3:9" x14ac:dyDescent="0.25">
      <c r="C82" s="1">
        <v>81</v>
      </c>
      <c r="D82" s="8">
        <v>50</v>
      </c>
      <c r="E82" s="27" t="s">
        <v>252</v>
      </c>
      <c r="F82" s="15" t="s">
        <v>0</v>
      </c>
      <c r="G82" t="s">
        <v>84</v>
      </c>
      <c r="H82" t="s">
        <v>95</v>
      </c>
    </row>
    <row r="83" spans="3:9" x14ac:dyDescent="0.25">
      <c r="C83" s="1">
        <v>82</v>
      </c>
      <c r="D83" s="8">
        <v>58</v>
      </c>
      <c r="E83" s="27" t="s">
        <v>253</v>
      </c>
      <c r="F83" s="15" t="s">
        <v>0</v>
      </c>
      <c r="G83" t="s">
        <v>85</v>
      </c>
      <c r="H83" t="s">
        <v>96</v>
      </c>
    </row>
    <row r="84" spans="3:9" x14ac:dyDescent="0.25">
      <c r="C84" s="1">
        <v>83</v>
      </c>
      <c r="D84" s="8">
        <v>12</v>
      </c>
      <c r="E84" s="27" t="s">
        <v>254</v>
      </c>
      <c r="F84" s="15" t="s">
        <v>0</v>
      </c>
      <c r="G84" t="s">
        <v>88</v>
      </c>
      <c r="H84" t="s">
        <v>100</v>
      </c>
    </row>
    <row r="85" spans="3:9" x14ac:dyDescent="0.25">
      <c r="C85" s="1">
        <v>84</v>
      </c>
      <c r="D85" s="8">
        <v>12</v>
      </c>
      <c r="E85" s="27" t="s">
        <v>255</v>
      </c>
      <c r="F85" s="15" t="s">
        <v>0</v>
      </c>
      <c r="G85" t="s">
        <v>89</v>
      </c>
      <c r="H85" t="s">
        <v>101</v>
      </c>
    </row>
    <row r="86" spans="3:9" x14ac:dyDescent="0.25">
      <c r="C86" s="1">
        <v>85</v>
      </c>
      <c r="D86" s="8">
        <v>30</v>
      </c>
      <c r="E86" s="27" t="s">
        <v>256</v>
      </c>
      <c r="F86" s="15" t="s">
        <v>0</v>
      </c>
      <c r="G86" t="s">
        <v>90</v>
      </c>
      <c r="H86" t="s">
        <v>99</v>
      </c>
    </row>
    <row r="87" spans="3:9" x14ac:dyDescent="0.25">
      <c r="C87" s="1">
        <v>86</v>
      </c>
      <c r="D87" s="8">
        <v>30</v>
      </c>
      <c r="E87" s="27" t="s">
        <v>257</v>
      </c>
      <c r="F87" s="15" t="s">
        <v>0</v>
      </c>
      <c r="G87" s="3" t="s">
        <v>87</v>
      </c>
      <c r="H87" s="3" t="s">
        <v>97</v>
      </c>
    </row>
    <row r="88" spans="3:9" x14ac:dyDescent="0.25">
      <c r="C88" s="1">
        <v>5</v>
      </c>
      <c r="D88" s="8">
        <f t="shared" ref="D88:D119" si="5">VLOOKUP( MOD(C88,100), $J$19:$L$67, 3, FALSE )</f>
        <v>11</v>
      </c>
      <c r="E88" s="27" t="s">
        <v>258</v>
      </c>
      <c r="F88" s="15" t="s">
        <v>0</v>
      </c>
      <c r="H88" t="s">
        <v>115</v>
      </c>
      <c r="I88" t="s">
        <v>104</v>
      </c>
    </row>
    <row r="89" spans="3:9" x14ac:dyDescent="0.25">
      <c r="C89" s="1">
        <v>6</v>
      </c>
      <c r="D89" s="8">
        <f t="shared" si="5"/>
        <v>20</v>
      </c>
      <c r="E89" s="27" t="s">
        <v>259</v>
      </c>
      <c r="F89" s="15" t="s">
        <v>0</v>
      </c>
      <c r="H89" t="s">
        <v>116</v>
      </c>
    </row>
    <row r="90" spans="3:9" x14ac:dyDescent="0.25">
      <c r="C90" s="1">
        <v>7</v>
      </c>
      <c r="D90" s="8">
        <f t="shared" si="5"/>
        <v>26</v>
      </c>
      <c r="E90" s="27" t="s">
        <v>260</v>
      </c>
      <c r="F90" s="15" t="s">
        <v>0</v>
      </c>
      <c r="H90" t="s">
        <v>117</v>
      </c>
    </row>
    <row r="91" spans="3:9" x14ac:dyDescent="0.25">
      <c r="C91" s="1">
        <v>8</v>
      </c>
      <c r="D91" s="8">
        <f t="shared" si="5"/>
        <v>41</v>
      </c>
      <c r="E91" s="27" t="s">
        <v>261</v>
      </c>
      <c r="F91" s="15" t="s">
        <v>0</v>
      </c>
      <c r="H91" t="s">
        <v>118</v>
      </c>
    </row>
    <row r="92" spans="3:9" x14ac:dyDescent="0.25">
      <c r="C92" s="1">
        <v>9</v>
      </c>
      <c r="D92" s="8">
        <f t="shared" si="5"/>
        <v>46</v>
      </c>
      <c r="E92" s="27" t="s">
        <v>262</v>
      </c>
      <c r="F92" s="15" t="s">
        <v>0</v>
      </c>
      <c r="H92" t="s">
        <v>119</v>
      </c>
    </row>
    <row r="93" spans="3:9" x14ac:dyDescent="0.25">
      <c r="C93" s="1">
        <v>25</v>
      </c>
      <c r="D93" s="8">
        <f t="shared" si="5"/>
        <v>11</v>
      </c>
      <c r="E93" s="27" t="s">
        <v>263</v>
      </c>
      <c r="F93" s="15" t="s">
        <v>0</v>
      </c>
      <c r="H93" t="s">
        <v>120</v>
      </c>
    </row>
    <row r="94" spans="3:9" x14ac:dyDescent="0.25">
      <c r="C94" s="1">
        <v>26</v>
      </c>
      <c r="D94" s="8">
        <f t="shared" si="5"/>
        <v>20</v>
      </c>
      <c r="E94" s="27" t="s">
        <v>264</v>
      </c>
      <c r="F94" s="15" t="s">
        <v>0</v>
      </c>
      <c r="H94" t="s">
        <v>121</v>
      </c>
    </row>
    <row r="95" spans="3:9" x14ac:dyDescent="0.25">
      <c r="C95" s="1">
        <v>27</v>
      </c>
      <c r="D95" s="8">
        <f t="shared" si="5"/>
        <v>26</v>
      </c>
      <c r="E95" s="27" t="s">
        <v>265</v>
      </c>
      <c r="F95" s="15" t="s">
        <v>0</v>
      </c>
      <c r="H95" t="s">
        <v>122</v>
      </c>
    </row>
    <row r="96" spans="3:9" x14ac:dyDescent="0.25">
      <c r="C96" s="1">
        <v>28</v>
      </c>
      <c r="D96" s="8">
        <f t="shared" si="5"/>
        <v>41</v>
      </c>
      <c r="E96" s="27" t="s">
        <v>266</v>
      </c>
      <c r="F96" s="15" t="s">
        <v>0</v>
      </c>
      <c r="H96" t="s">
        <v>123</v>
      </c>
    </row>
    <row r="97" spans="3:8" x14ac:dyDescent="0.25">
      <c r="C97" s="1">
        <v>29</v>
      </c>
      <c r="D97" s="8">
        <f t="shared" si="5"/>
        <v>46</v>
      </c>
      <c r="E97" s="27" t="s">
        <v>267</v>
      </c>
      <c r="F97" s="15" t="s">
        <v>0</v>
      </c>
      <c r="H97" t="s">
        <v>124</v>
      </c>
    </row>
    <row r="98" spans="3:8" x14ac:dyDescent="0.25">
      <c r="C98" s="1">
        <v>105</v>
      </c>
      <c r="D98" s="8">
        <f t="shared" si="5"/>
        <v>11</v>
      </c>
      <c r="E98" s="27" t="s">
        <v>268</v>
      </c>
      <c r="F98" s="15" t="s">
        <v>0</v>
      </c>
      <c r="H98" t="s">
        <v>125</v>
      </c>
    </row>
    <row r="99" spans="3:8" x14ac:dyDescent="0.25">
      <c r="C99" s="1">
        <v>106</v>
      </c>
      <c r="D99" s="8">
        <f t="shared" si="5"/>
        <v>20</v>
      </c>
      <c r="E99" s="27" t="s">
        <v>269</v>
      </c>
      <c r="F99" s="15" t="s">
        <v>0</v>
      </c>
      <c r="H99" t="s">
        <v>126</v>
      </c>
    </row>
    <row r="100" spans="3:8" x14ac:dyDescent="0.25">
      <c r="C100" s="1">
        <v>107</v>
      </c>
      <c r="D100" s="8">
        <f t="shared" si="5"/>
        <v>26</v>
      </c>
      <c r="E100" s="27" t="s">
        <v>270</v>
      </c>
      <c r="F100" s="15" t="s">
        <v>0</v>
      </c>
      <c r="H100" t="s">
        <v>127</v>
      </c>
    </row>
    <row r="101" spans="3:8" x14ac:dyDescent="0.25">
      <c r="C101" s="1">
        <v>108</v>
      </c>
      <c r="D101" s="8">
        <f t="shared" si="5"/>
        <v>41</v>
      </c>
      <c r="E101" s="27" t="s">
        <v>271</v>
      </c>
      <c r="F101" s="15" t="s">
        <v>0</v>
      </c>
      <c r="H101" t="s">
        <v>128</v>
      </c>
    </row>
    <row r="102" spans="3:8" x14ac:dyDescent="0.25">
      <c r="C102" s="1">
        <v>109</v>
      </c>
      <c r="D102" s="8">
        <f t="shared" si="5"/>
        <v>46</v>
      </c>
      <c r="E102" s="27" t="s">
        <v>272</v>
      </c>
      <c r="F102" s="15" t="s">
        <v>0</v>
      </c>
      <c r="H102" t="s">
        <v>129</v>
      </c>
    </row>
    <row r="103" spans="3:8" x14ac:dyDescent="0.25">
      <c r="C103" s="1">
        <v>205</v>
      </c>
      <c r="D103" s="8">
        <f t="shared" si="5"/>
        <v>11</v>
      </c>
      <c r="E103" s="27" t="s">
        <v>273</v>
      </c>
      <c r="F103" s="15" t="s">
        <v>0</v>
      </c>
      <c r="H103" t="s">
        <v>130</v>
      </c>
    </row>
    <row r="104" spans="3:8" x14ac:dyDescent="0.25">
      <c r="C104" s="1">
        <v>206</v>
      </c>
      <c r="D104" s="8">
        <f t="shared" si="5"/>
        <v>20</v>
      </c>
      <c r="E104" s="27" t="s">
        <v>274</v>
      </c>
      <c r="F104" s="15" t="s">
        <v>0</v>
      </c>
      <c r="H104" t="s">
        <v>131</v>
      </c>
    </row>
    <row r="105" spans="3:8" x14ac:dyDescent="0.25">
      <c r="C105" s="1">
        <v>207</v>
      </c>
      <c r="D105" s="8">
        <f t="shared" si="5"/>
        <v>26</v>
      </c>
      <c r="E105" s="27" t="s">
        <v>275</v>
      </c>
      <c r="F105" s="15" t="s">
        <v>0</v>
      </c>
      <c r="H105" t="s">
        <v>132</v>
      </c>
    </row>
    <row r="106" spans="3:8" x14ac:dyDescent="0.25">
      <c r="C106" s="1">
        <v>208</v>
      </c>
      <c r="D106" s="8">
        <f t="shared" si="5"/>
        <v>41</v>
      </c>
      <c r="E106" s="27" t="s">
        <v>276</v>
      </c>
      <c r="F106" s="15" t="s">
        <v>0</v>
      </c>
      <c r="H106" t="s">
        <v>133</v>
      </c>
    </row>
    <row r="107" spans="3:8" x14ac:dyDescent="0.25">
      <c r="C107" s="1">
        <v>209</v>
      </c>
      <c r="D107" s="8">
        <f t="shared" si="5"/>
        <v>46</v>
      </c>
      <c r="E107" s="27" t="s">
        <v>277</v>
      </c>
      <c r="F107" s="15" t="s">
        <v>0</v>
      </c>
      <c r="H107" t="s">
        <v>134</v>
      </c>
    </row>
    <row r="108" spans="3:8" x14ac:dyDescent="0.25">
      <c r="C108" s="1">
        <v>305</v>
      </c>
      <c r="D108" s="8">
        <f t="shared" si="5"/>
        <v>11</v>
      </c>
      <c r="E108" s="27" t="s">
        <v>278</v>
      </c>
      <c r="F108" s="15" t="s">
        <v>0</v>
      </c>
      <c r="H108" t="s">
        <v>135</v>
      </c>
    </row>
    <row r="109" spans="3:8" x14ac:dyDescent="0.25">
      <c r="C109" s="1">
        <v>306</v>
      </c>
      <c r="D109" s="8">
        <f t="shared" si="5"/>
        <v>20</v>
      </c>
      <c r="E109" s="27" t="s">
        <v>279</v>
      </c>
      <c r="F109" s="15" t="s">
        <v>0</v>
      </c>
      <c r="H109" t="s">
        <v>136</v>
      </c>
    </row>
    <row r="110" spans="3:8" x14ac:dyDescent="0.25">
      <c r="C110" s="1">
        <v>307</v>
      </c>
      <c r="D110" s="8">
        <f t="shared" si="5"/>
        <v>26</v>
      </c>
      <c r="E110" s="27" t="s">
        <v>280</v>
      </c>
      <c r="F110" s="15" t="s">
        <v>0</v>
      </c>
      <c r="H110" t="s">
        <v>137</v>
      </c>
    </row>
    <row r="111" spans="3:8" x14ac:dyDescent="0.25">
      <c r="C111" s="1">
        <v>308</v>
      </c>
      <c r="D111" s="8">
        <f t="shared" si="5"/>
        <v>41</v>
      </c>
      <c r="E111" s="27" t="s">
        <v>281</v>
      </c>
      <c r="F111" s="15" t="s">
        <v>0</v>
      </c>
      <c r="H111" t="s">
        <v>138</v>
      </c>
    </row>
    <row r="112" spans="3:8" x14ac:dyDescent="0.25">
      <c r="C112" s="1">
        <v>309</v>
      </c>
      <c r="D112" s="8">
        <f t="shared" si="5"/>
        <v>46</v>
      </c>
      <c r="E112" s="27" t="s">
        <v>282</v>
      </c>
      <c r="F112" s="15" t="s">
        <v>0</v>
      </c>
      <c r="H112" t="s">
        <v>139</v>
      </c>
    </row>
    <row r="113" spans="3:9" x14ac:dyDescent="0.25">
      <c r="C113" s="1">
        <v>125</v>
      </c>
      <c r="D113" s="8">
        <f t="shared" si="5"/>
        <v>11</v>
      </c>
      <c r="E113" s="27" t="s">
        <v>283</v>
      </c>
      <c r="F113" s="15" t="s">
        <v>0</v>
      </c>
      <c r="H113" t="s">
        <v>140</v>
      </c>
    </row>
    <row r="114" spans="3:9" x14ac:dyDescent="0.25">
      <c r="C114" s="1">
        <v>126</v>
      </c>
      <c r="D114" s="8">
        <f t="shared" si="5"/>
        <v>20</v>
      </c>
      <c r="E114" s="27" t="s">
        <v>284</v>
      </c>
      <c r="F114" s="15" t="s">
        <v>0</v>
      </c>
      <c r="H114" t="s">
        <v>141</v>
      </c>
    </row>
    <row r="115" spans="3:9" x14ac:dyDescent="0.25">
      <c r="C115" s="1">
        <v>127</v>
      </c>
      <c r="D115" s="8">
        <f t="shared" si="5"/>
        <v>26</v>
      </c>
      <c r="E115" s="27" t="s">
        <v>285</v>
      </c>
      <c r="F115" s="15" t="s">
        <v>0</v>
      </c>
      <c r="H115" t="s">
        <v>142</v>
      </c>
    </row>
    <row r="116" spans="3:9" x14ac:dyDescent="0.25">
      <c r="C116" s="1">
        <v>128</v>
      </c>
      <c r="D116" s="8">
        <f t="shared" si="5"/>
        <v>41</v>
      </c>
      <c r="E116" s="27" t="s">
        <v>286</v>
      </c>
      <c r="F116" s="15" t="s">
        <v>0</v>
      </c>
      <c r="H116" t="s">
        <v>143</v>
      </c>
    </row>
    <row r="117" spans="3:9" x14ac:dyDescent="0.25">
      <c r="C117" s="1">
        <v>129</v>
      </c>
      <c r="D117" s="8">
        <f t="shared" si="5"/>
        <v>46</v>
      </c>
      <c r="E117" s="27" t="s">
        <v>287</v>
      </c>
      <c r="F117" s="15" t="s">
        <v>0</v>
      </c>
      <c r="H117" t="s">
        <v>144</v>
      </c>
    </row>
    <row r="118" spans="3:9" x14ac:dyDescent="0.25">
      <c r="C118" s="1">
        <v>225</v>
      </c>
      <c r="D118" s="8">
        <f t="shared" si="5"/>
        <v>11</v>
      </c>
      <c r="E118" s="27" t="s">
        <v>288</v>
      </c>
      <c r="F118" s="15" t="s">
        <v>0</v>
      </c>
      <c r="H118" t="s">
        <v>145</v>
      </c>
    </row>
    <row r="119" spans="3:9" x14ac:dyDescent="0.25">
      <c r="C119" s="1">
        <v>226</v>
      </c>
      <c r="D119" s="8">
        <f t="shared" si="5"/>
        <v>20</v>
      </c>
      <c r="E119" s="27" t="s">
        <v>289</v>
      </c>
      <c r="F119" s="15" t="s">
        <v>0</v>
      </c>
      <c r="H119" t="s">
        <v>146</v>
      </c>
    </row>
    <row r="120" spans="3:9" x14ac:dyDescent="0.25">
      <c r="C120" s="1">
        <v>227</v>
      </c>
      <c r="D120" s="8">
        <f t="shared" ref="D120:D151" si="6">VLOOKUP( MOD(C120,100), $J$19:$L$67, 3, FALSE )</f>
        <v>26</v>
      </c>
      <c r="E120" s="27" t="s">
        <v>290</v>
      </c>
      <c r="F120" s="15" t="s">
        <v>0</v>
      </c>
      <c r="H120" t="s">
        <v>147</v>
      </c>
    </row>
    <row r="121" spans="3:9" x14ac:dyDescent="0.25">
      <c r="C121" s="1">
        <v>228</v>
      </c>
      <c r="D121" s="8">
        <f t="shared" si="6"/>
        <v>41</v>
      </c>
      <c r="E121" s="27" t="s">
        <v>291</v>
      </c>
      <c r="F121" s="15" t="s">
        <v>0</v>
      </c>
      <c r="H121" t="s">
        <v>148</v>
      </c>
    </row>
    <row r="122" spans="3:9" x14ac:dyDescent="0.25">
      <c r="C122" s="1">
        <v>229</v>
      </c>
      <c r="D122" s="8">
        <f t="shared" si="6"/>
        <v>46</v>
      </c>
      <c r="E122" s="27" t="s">
        <v>292</v>
      </c>
      <c r="F122" s="15" t="s">
        <v>0</v>
      </c>
      <c r="H122" t="s">
        <v>149</v>
      </c>
    </row>
    <row r="123" spans="3:9" x14ac:dyDescent="0.25">
      <c r="C123" s="1">
        <v>325</v>
      </c>
      <c r="D123" s="8">
        <f t="shared" si="6"/>
        <v>11</v>
      </c>
      <c r="E123" s="27" t="s">
        <v>293</v>
      </c>
      <c r="F123" s="15" t="s">
        <v>0</v>
      </c>
      <c r="H123" t="s">
        <v>150</v>
      </c>
    </row>
    <row r="124" spans="3:9" x14ac:dyDescent="0.25">
      <c r="C124" s="1">
        <v>326</v>
      </c>
      <c r="D124" s="8">
        <f t="shared" si="6"/>
        <v>20</v>
      </c>
      <c r="E124" s="27" t="s">
        <v>294</v>
      </c>
      <c r="F124" s="15" t="s">
        <v>0</v>
      </c>
      <c r="H124" t="s">
        <v>151</v>
      </c>
    </row>
    <row r="125" spans="3:9" x14ac:dyDescent="0.25">
      <c r="C125" s="1">
        <v>327</v>
      </c>
      <c r="D125" s="8">
        <f t="shared" si="6"/>
        <v>26</v>
      </c>
      <c r="E125" s="27" t="s">
        <v>295</v>
      </c>
      <c r="F125" s="15" t="s">
        <v>0</v>
      </c>
      <c r="H125" t="s">
        <v>152</v>
      </c>
    </row>
    <row r="126" spans="3:9" x14ac:dyDescent="0.25">
      <c r="C126" s="1">
        <v>328</v>
      </c>
      <c r="D126" s="8">
        <f t="shared" si="6"/>
        <v>41</v>
      </c>
      <c r="E126" s="27" t="s">
        <v>296</v>
      </c>
      <c r="F126" s="15" t="s">
        <v>0</v>
      </c>
      <c r="H126" t="s">
        <v>153</v>
      </c>
    </row>
    <row r="127" spans="3:9" x14ac:dyDescent="0.25">
      <c r="C127" s="1">
        <v>329</v>
      </c>
      <c r="D127" s="8">
        <f t="shared" si="6"/>
        <v>46</v>
      </c>
      <c r="E127" s="27" t="s">
        <v>297</v>
      </c>
      <c r="F127" s="15" t="s">
        <v>0</v>
      </c>
      <c r="H127" t="s">
        <v>154</v>
      </c>
    </row>
    <row r="128" spans="3:9" x14ac:dyDescent="0.25">
      <c r="C128" s="1">
        <v>411</v>
      </c>
      <c r="D128" s="8">
        <f t="shared" si="6"/>
        <v>70</v>
      </c>
      <c r="E128" s="27" t="s">
        <v>298</v>
      </c>
      <c r="F128" s="15" t="s">
        <v>0</v>
      </c>
      <c r="G128" s="22" t="s">
        <v>164</v>
      </c>
      <c r="I128" s="21" t="s">
        <v>163</v>
      </c>
    </row>
    <row r="129" spans="3:9" x14ac:dyDescent="0.25">
      <c r="C129" s="1">
        <v>412</v>
      </c>
      <c r="D129" s="8">
        <f t="shared" si="6"/>
        <v>140</v>
      </c>
      <c r="E129" s="27" t="s">
        <v>299</v>
      </c>
      <c r="F129" s="15" t="s">
        <v>0</v>
      </c>
      <c r="G129" s="22" t="s">
        <v>165</v>
      </c>
      <c r="I129" s="21" t="s">
        <v>163</v>
      </c>
    </row>
    <row r="130" spans="3:9" x14ac:dyDescent="0.25">
      <c r="C130" s="1">
        <v>113</v>
      </c>
      <c r="D130" s="8">
        <f t="shared" si="6"/>
        <v>10</v>
      </c>
      <c r="E130" s="25" t="s">
        <v>300</v>
      </c>
      <c r="F130" s="15" t="s">
        <v>0</v>
      </c>
      <c r="G130" s="25" t="s">
        <v>338</v>
      </c>
      <c r="I130" s="21" t="s">
        <v>340</v>
      </c>
    </row>
    <row r="131" spans="3:9" x14ac:dyDescent="0.25">
      <c r="C131" s="1">
        <v>213</v>
      </c>
      <c r="D131" s="8">
        <f t="shared" si="6"/>
        <v>10</v>
      </c>
      <c r="E131" s="25" t="s">
        <v>301</v>
      </c>
      <c r="F131" s="15" t="s">
        <v>0</v>
      </c>
      <c r="G131" s="25" t="s">
        <v>177</v>
      </c>
      <c r="I131" s="21"/>
    </row>
    <row r="132" spans="3:9" x14ac:dyDescent="0.25">
      <c r="C132" s="1">
        <v>313</v>
      </c>
      <c r="D132" s="8">
        <f t="shared" si="6"/>
        <v>10</v>
      </c>
      <c r="E132" s="25" t="s">
        <v>302</v>
      </c>
      <c r="F132" s="15" t="s">
        <v>0</v>
      </c>
      <c r="G132" s="25" t="s">
        <v>178</v>
      </c>
      <c r="I132" s="21"/>
    </row>
    <row r="133" spans="3:9" x14ac:dyDescent="0.25">
      <c r="C133" s="1">
        <v>413</v>
      </c>
      <c r="D133" s="8">
        <f t="shared" si="6"/>
        <v>10</v>
      </c>
      <c r="E133" s="25" t="s">
        <v>303</v>
      </c>
      <c r="F133" s="15" t="s">
        <v>0</v>
      </c>
      <c r="G133" s="25" t="s">
        <v>179</v>
      </c>
      <c r="I133" s="21"/>
    </row>
    <row r="134" spans="3:9" x14ac:dyDescent="0.25">
      <c r="C134" s="1">
        <v>114</v>
      </c>
      <c r="D134" s="8">
        <f t="shared" si="6"/>
        <v>15</v>
      </c>
      <c r="E134" s="25" t="s">
        <v>304</v>
      </c>
      <c r="F134" s="15" t="s">
        <v>0</v>
      </c>
      <c r="G134" s="25" t="s">
        <v>339</v>
      </c>
      <c r="I134" s="21"/>
    </row>
    <row r="135" spans="3:9" x14ac:dyDescent="0.25">
      <c r="C135" s="1">
        <v>214</v>
      </c>
      <c r="D135" s="8">
        <f t="shared" si="6"/>
        <v>15</v>
      </c>
      <c r="E135" s="25" t="s">
        <v>305</v>
      </c>
      <c r="F135" s="15" t="s">
        <v>0</v>
      </c>
      <c r="G135" s="25" t="s">
        <v>180</v>
      </c>
      <c r="I135" s="21"/>
    </row>
    <row r="136" spans="3:9" x14ac:dyDescent="0.25">
      <c r="C136" s="1">
        <v>314</v>
      </c>
      <c r="D136" s="8">
        <f t="shared" si="6"/>
        <v>15</v>
      </c>
      <c r="E136" s="25" t="s">
        <v>306</v>
      </c>
      <c r="F136" s="15" t="s">
        <v>0</v>
      </c>
      <c r="G136" s="25" t="s">
        <v>181</v>
      </c>
      <c r="I136" s="21"/>
    </row>
    <row r="137" spans="3:9" x14ac:dyDescent="0.25">
      <c r="C137" s="1">
        <v>414</v>
      </c>
      <c r="D137" s="8">
        <f t="shared" si="6"/>
        <v>15</v>
      </c>
      <c r="E137" s="25" t="s">
        <v>307</v>
      </c>
      <c r="F137" s="15" t="s">
        <v>0</v>
      </c>
      <c r="G137" s="25" t="s">
        <v>182</v>
      </c>
      <c r="I137" s="21"/>
    </row>
    <row r="138" spans="3:9" x14ac:dyDescent="0.25">
      <c r="C138" s="1">
        <v>115</v>
      </c>
      <c r="D138" s="8">
        <f t="shared" si="6"/>
        <v>79</v>
      </c>
      <c r="E138" s="25" t="s">
        <v>308</v>
      </c>
      <c r="F138" s="15" t="s">
        <v>0</v>
      </c>
      <c r="G138" s="25" t="s">
        <v>183</v>
      </c>
      <c r="I138" s="21"/>
    </row>
    <row r="139" spans="3:9" x14ac:dyDescent="0.25">
      <c r="C139" s="1">
        <v>215</v>
      </c>
      <c r="D139" s="8">
        <f t="shared" si="6"/>
        <v>79</v>
      </c>
      <c r="E139" s="25" t="s">
        <v>309</v>
      </c>
      <c r="F139" s="15" t="s">
        <v>0</v>
      </c>
      <c r="G139" s="25" t="s">
        <v>184</v>
      </c>
      <c r="I139" s="21"/>
    </row>
    <row r="140" spans="3:9" x14ac:dyDescent="0.25">
      <c r="C140" s="1">
        <v>116</v>
      </c>
      <c r="D140" s="8">
        <f t="shared" si="6"/>
        <v>48</v>
      </c>
      <c r="E140" s="25" t="s">
        <v>310</v>
      </c>
      <c r="F140" s="15" t="s">
        <v>0</v>
      </c>
      <c r="G140" s="25" t="s">
        <v>185</v>
      </c>
      <c r="I140" s="21"/>
    </row>
    <row r="141" spans="3:9" x14ac:dyDescent="0.25">
      <c r="C141" s="1">
        <v>117</v>
      </c>
      <c r="D141" s="8">
        <f t="shared" si="6"/>
        <v>33</v>
      </c>
      <c r="E141" s="25" t="s">
        <v>311</v>
      </c>
      <c r="F141" s="15" t="s">
        <v>0</v>
      </c>
      <c r="G141" s="25" t="s">
        <v>186</v>
      </c>
      <c r="I141" s="21"/>
    </row>
    <row r="142" spans="3:9" x14ac:dyDescent="0.25">
      <c r="C142" s="1">
        <v>118</v>
      </c>
      <c r="D142" s="8">
        <f t="shared" si="6"/>
        <v>109</v>
      </c>
      <c r="E142" s="25" t="s">
        <v>312</v>
      </c>
      <c r="F142" s="15" t="s">
        <v>0</v>
      </c>
      <c r="G142" s="25" t="s">
        <v>187</v>
      </c>
      <c r="I142" s="21"/>
    </row>
    <row r="143" spans="3:9" x14ac:dyDescent="0.25">
      <c r="C143" s="1">
        <v>119</v>
      </c>
      <c r="D143" s="8">
        <f t="shared" si="6"/>
        <v>20</v>
      </c>
      <c r="E143" s="25" t="s">
        <v>313</v>
      </c>
      <c r="F143" s="15" t="s">
        <v>0</v>
      </c>
      <c r="G143" s="25" t="s">
        <v>326</v>
      </c>
      <c r="I143" s="21"/>
    </row>
    <row r="144" spans="3:9" x14ac:dyDescent="0.25">
      <c r="C144" s="1">
        <v>120</v>
      </c>
      <c r="D144" s="8">
        <f t="shared" si="6"/>
        <v>24</v>
      </c>
      <c r="E144" s="25" t="s">
        <v>314</v>
      </c>
      <c r="F144" s="15" t="s">
        <v>0</v>
      </c>
      <c r="G144" s="25" t="s">
        <v>327</v>
      </c>
      <c r="I144" s="21"/>
    </row>
    <row r="145" spans="3:9" x14ac:dyDescent="0.25">
      <c r="C145" s="1">
        <v>219</v>
      </c>
      <c r="D145" s="8">
        <f t="shared" si="6"/>
        <v>20</v>
      </c>
      <c r="E145" s="25" t="s">
        <v>315</v>
      </c>
      <c r="F145" s="15" t="s">
        <v>0</v>
      </c>
      <c r="G145" s="25" t="s">
        <v>328</v>
      </c>
      <c r="I145" s="21"/>
    </row>
    <row r="146" spans="3:9" x14ac:dyDescent="0.25">
      <c r="C146" s="1">
        <v>220</v>
      </c>
      <c r="D146" s="8">
        <f t="shared" si="6"/>
        <v>24</v>
      </c>
      <c r="E146" s="25" t="s">
        <v>316</v>
      </c>
      <c r="F146" s="15" t="s">
        <v>0</v>
      </c>
      <c r="G146" s="25" t="s">
        <v>329</v>
      </c>
      <c r="I146" s="21"/>
    </row>
    <row r="147" spans="3:9" x14ac:dyDescent="0.25">
      <c r="C147" s="1">
        <v>319</v>
      </c>
      <c r="D147" s="8">
        <f t="shared" si="6"/>
        <v>20</v>
      </c>
      <c r="E147" s="25" t="s">
        <v>317</v>
      </c>
      <c r="F147" s="15" t="s">
        <v>0</v>
      </c>
      <c r="G147" s="25" t="s">
        <v>330</v>
      </c>
      <c r="I147" s="21"/>
    </row>
    <row r="148" spans="3:9" x14ac:dyDescent="0.25">
      <c r="C148" s="1">
        <v>320</v>
      </c>
      <c r="D148" s="8">
        <f t="shared" si="6"/>
        <v>24</v>
      </c>
      <c r="E148" s="25" t="s">
        <v>318</v>
      </c>
      <c r="F148" s="15" t="s">
        <v>0</v>
      </c>
      <c r="G148" s="25" t="s">
        <v>331</v>
      </c>
      <c r="I148" s="21"/>
    </row>
    <row r="149" spans="3:9" x14ac:dyDescent="0.25">
      <c r="C149" s="1">
        <v>121</v>
      </c>
      <c r="D149" s="8">
        <f t="shared" si="6"/>
        <v>17</v>
      </c>
      <c r="E149" s="25" t="s">
        <v>319</v>
      </c>
      <c r="F149" s="15" t="s">
        <v>0</v>
      </c>
      <c r="G149" s="25" t="s">
        <v>332</v>
      </c>
      <c r="I149" s="21"/>
    </row>
    <row r="150" spans="3:9" x14ac:dyDescent="0.25">
      <c r="C150" s="1">
        <v>122</v>
      </c>
      <c r="D150" s="8">
        <f t="shared" si="6"/>
        <v>28</v>
      </c>
      <c r="E150" s="25" t="s">
        <v>320</v>
      </c>
      <c r="F150" s="15" t="s">
        <v>0</v>
      </c>
      <c r="G150" s="25" t="s">
        <v>333</v>
      </c>
      <c r="I150" s="21"/>
    </row>
    <row r="151" spans="3:9" x14ac:dyDescent="0.25">
      <c r="C151" s="1">
        <v>221</v>
      </c>
      <c r="D151" s="8">
        <f t="shared" si="6"/>
        <v>17</v>
      </c>
      <c r="E151" s="25" t="s">
        <v>321</v>
      </c>
      <c r="F151" s="15" t="s">
        <v>0</v>
      </c>
      <c r="G151" s="25" t="s">
        <v>334</v>
      </c>
      <c r="I151" s="21"/>
    </row>
    <row r="152" spans="3:9" x14ac:dyDescent="0.25">
      <c r="C152" s="1">
        <v>222</v>
      </c>
      <c r="D152" s="8">
        <f t="shared" ref="D152:D183" si="7">VLOOKUP( MOD(C152,100), $J$19:$L$67, 3, FALSE )</f>
        <v>28</v>
      </c>
      <c r="E152" s="25" t="s">
        <v>322</v>
      </c>
      <c r="F152" s="15" t="s">
        <v>0</v>
      </c>
      <c r="G152" s="25" t="s">
        <v>335</v>
      </c>
      <c r="I152" s="21"/>
    </row>
    <row r="153" spans="3:9" x14ac:dyDescent="0.25">
      <c r="C153" s="1">
        <v>321</v>
      </c>
      <c r="D153" s="8">
        <f t="shared" si="7"/>
        <v>17</v>
      </c>
      <c r="E153" s="25" t="s">
        <v>323</v>
      </c>
      <c r="F153" s="15" t="s">
        <v>0</v>
      </c>
      <c r="G153" s="25" t="s">
        <v>336</v>
      </c>
      <c r="I153" s="21"/>
    </row>
    <row r="154" spans="3:9" x14ac:dyDescent="0.25">
      <c r="C154" s="1">
        <v>322</v>
      </c>
      <c r="D154" s="8">
        <f t="shared" si="7"/>
        <v>28</v>
      </c>
      <c r="E154" s="25" t="s">
        <v>324</v>
      </c>
      <c r="F154" s="15" t="s">
        <v>0</v>
      </c>
      <c r="G154" s="25" t="s">
        <v>337</v>
      </c>
      <c r="I154" s="21"/>
    </row>
    <row r="155" spans="3:9" x14ac:dyDescent="0.25">
      <c r="C155" s="1">
        <v>991</v>
      </c>
      <c r="D155" s="8">
        <f t="shared" si="7"/>
        <v>5</v>
      </c>
      <c r="E155" s="27" t="s">
        <v>241</v>
      </c>
      <c r="F155" s="15" t="s">
        <v>0</v>
      </c>
      <c r="G155" s="18" t="s">
        <v>79</v>
      </c>
      <c r="H155" s="18" t="str">
        <f t="shared" ref="H155:H160" si="8" xml:space="preserve"> G155 &amp; "  (" &amp; D155 &amp; "kW cap @ 40F)"</f>
        <v>generic  (5kW cap @ 40F)</v>
      </c>
      <c r="I155" s="18"/>
    </row>
    <row r="156" spans="3:9" x14ac:dyDescent="0.25">
      <c r="C156" s="1">
        <v>992</v>
      </c>
      <c r="D156" s="8">
        <f t="shared" si="7"/>
        <v>11</v>
      </c>
      <c r="E156" s="27" t="s">
        <v>242</v>
      </c>
      <c r="F156" s="15" t="s">
        <v>0</v>
      </c>
      <c r="G156" t="s">
        <v>79</v>
      </c>
      <c r="H156" t="str">
        <f t="shared" si="8"/>
        <v>generic  (11kW cap @ 40F)</v>
      </c>
    </row>
    <row r="157" spans="3:9" x14ac:dyDescent="0.25">
      <c r="C157" s="1">
        <v>993</v>
      </c>
      <c r="D157" s="8">
        <f t="shared" si="7"/>
        <v>20</v>
      </c>
      <c r="E157" s="27" t="s">
        <v>243</v>
      </c>
      <c r="F157" s="15" t="s">
        <v>0</v>
      </c>
      <c r="G157" t="s">
        <v>79</v>
      </c>
      <c r="H157" t="str">
        <f t="shared" si="8"/>
        <v>generic  (20kW cap @ 40F)</v>
      </c>
    </row>
    <row r="158" spans="3:9" x14ac:dyDescent="0.25">
      <c r="C158" s="1">
        <v>994</v>
      </c>
      <c r="D158" s="8">
        <f t="shared" si="7"/>
        <v>26</v>
      </c>
      <c r="E158" s="27" t="s">
        <v>244</v>
      </c>
      <c r="F158" s="15" t="s">
        <v>0</v>
      </c>
      <c r="G158" t="s">
        <v>79</v>
      </c>
      <c r="H158" t="str">
        <f t="shared" si="8"/>
        <v>generic  (26kW cap @ 40F)</v>
      </c>
    </row>
    <row r="159" spans="3:9" x14ac:dyDescent="0.25">
      <c r="C159" s="1">
        <v>995</v>
      </c>
      <c r="D159" s="8">
        <f t="shared" si="7"/>
        <v>40</v>
      </c>
      <c r="E159" s="27" t="s">
        <v>245</v>
      </c>
      <c r="F159" s="15" t="s">
        <v>0</v>
      </c>
      <c r="G159" t="s">
        <v>79</v>
      </c>
      <c r="H159" t="str">
        <f t="shared" si="8"/>
        <v>generic  (40kW cap @ 40F)</v>
      </c>
    </row>
    <row r="160" spans="3:9" x14ac:dyDescent="0.25">
      <c r="C160" s="1">
        <v>996</v>
      </c>
      <c r="D160" s="8">
        <f t="shared" si="7"/>
        <v>45</v>
      </c>
      <c r="E160" s="27" t="s">
        <v>246</v>
      </c>
      <c r="F160" s="15" t="s">
        <v>0</v>
      </c>
      <c r="G160" t="s">
        <v>79</v>
      </c>
      <c r="H160" t="str">
        <f t="shared" si="8"/>
        <v>generic  (45kW cap @ 40F)</v>
      </c>
    </row>
    <row r="161" spans="2:7" x14ac:dyDescent="0.25">
      <c r="C161" s="16" t="s">
        <v>74</v>
      </c>
      <c r="D161" s="17">
        <v>0</v>
      </c>
      <c r="E161" s="28" t="s">
        <v>247</v>
      </c>
      <c r="F161" s="15" t="s">
        <v>0</v>
      </c>
      <c r="G161" t="s">
        <v>75</v>
      </c>
    </row>
    <row r="162" spans="2:7" x14ac:dyDescent="0.25">
      <c r="B162" t="s">
        <v>76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Criswell</dc:creator>
  <cp:lastModifiedBy>Scott Criswell</cp:lastModifiedBy>
  <dcterms:created xsi:type="dcterms:W3CDTF">2020-08-31T17:32:48Z</dcterms:created>
  <dcterms:modified xsi:type="dcterms:W3CDTF">2026-09-14T17:30:41Z</dcterms:modified>
</cp:coreProperties>
</file>