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BECC\git-vscode\CBECC-Dev\RulesetSrc\T24SFam\To-Docu\"/>
    </mc:Choice>
  </mc:AlternateContent>
  <xr:revisionPtr revIDLastSave="0" documentId="13_ncr:1_{57FEEA15-8B92-4F66-9DC4-44DB8FFB9386}" xr6:coauthVersionLast="47" xr6:coauthVersionMax="47" xr10:uidLastSave="{00000000-0000-0000-0000-000000000000}"/>
  <bookViews>
    <workbookView xWindow="1560" yWindow="1170" windowWidth="20535" windowHeight="14760" tabRatio="750" firstSheet="6" activeTab="6" xr2:uid="{00000000-000D-0000-FFFF-FFFF00000000}"/>
  </bookViews>
  <sheets>
    <sheet name="T24RClimateZoneDesignDay" sheetId="9" r:id="rId1"/>
    <sheet name="T24RClimateZoneDesignDay v3b" sheetId="4" r:id="rId2"/>
    <sheet name="T24RCZWeatherMapping" sheetId="15" r:id="rId3"/>
    <sheet name="T24RClimateZoneInletMainsTemp" sheetId="10" r:id="rId4"/>
    <sheet name="T24RClimateZoneDHWASHPAdj" sheetId="11" r:id="rId5"/>
    <sheet name="DHWTankAreaCoefs" sheetId="12" r:id="rId6"/>
    <sheet name="T24R_DHWTables" sheetId="13" r:id="rId7"/>
    <sheet name="T24RSlabEdgeInsulation" sheetId="3" r:id="rId8"/>
    <sheet name="T24RMaterialLibraryMap" sheetId="8" r:id="rId9"/>
    <sheet name="T24RHeatingEquipment" sheetId="1" r:id="rId10"/>
    <sheet name="T24RCoolingEquipment" sheetId="7" r:id="rId11"/>
    <sheet name="T24R_VCHP3Tables" sheetId="16" r:id="rId12"/>
    <sheet name="Sheet2" sheetId="17" r:id="rId13"/>
    <sheet name="T24RDistributionSystems" sheetId="5" r:id="rId14"/>
    <sheet name="T24RBuriedDuct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" i="13" l="1"/>
  <c r="C24" i="13" s="1"/>
  <c r="C25" i="13" s="1"/>
  <c r="C26" i="13" s="1"/>
  <c r="C27" i="13" s="1"/>
  <c r="C28" i="13" s="1"/>
  <c r="C29" i="13" s="1"/>
  <c r="C30" i="13" s="1"/>
  <c r="D118" i="13"/>
  <c r="D119" i="13" s="1"/>
  <c r="D120" i="13" s="1"/>
  <c r="D121" i="13" s="1"/>
  <c r="D122" i="13" s="1"/>
  <c r="D112" i="13"/>
  <c r="D113" i="13" s="1"/>
  <c r="D114" i="13" s="1"/>
  <c r="D115" i="13" s="1"/>
  <c r="D116" i="13" s="1"/>
  <c r="D106" i="13"/>
  <c r="D107" i="13" s="1"/>
  <c r="D108" i="13" s="1"/>
  <c r="D109" i="13" s="1"/>
  <c r="D110" i="13" s="1"/>
  <c r="D100" i="13"/>
  <c r="D101" i="13" s="1"/>
  <c r="D102" i="13" s="1"/>
  <c r="D103" i="13" s="1"/>
  <c r="D104" i="13" s="1"/>
  <c r="D94" i="13"/>
  <c r="D95" i="13" s="1"/>
  <c r="D96" i="13" s="1"/>
  <c r="D97" i="13" s="1"/>
  <c r="D98" i="13" s="1"/>
  <c r="H149" i="9"/>
  <c r="G149" i="9"/>
  <c r="H148" i="9"/>
  <c r="G148" i="9"/>
  <c r="H147" i="9"/>
  <c r="G147" i="9"/>
  <c r="H146" i="9"/>
  <c r="G146" i="9"/>
  <c r="H145" i="9"/>
  <c r="G145" i="9"/>
  <c r="H144" i="9"/>
  <c r="G144" i="9"/>
  <c r="H143" i="9"/>
  <c r="G143" i="9"/>
  <c r="H142" i="9"/>
  <c r="G142" i="9"/>
  <c r="H141" i="9"/>
  <c r="G141" i="9"/>
  <c r="H140" i="9"/>
  <c r="G140" i="9"/>
  <c r="H139" i="9"/>
  <c r="G139" i="9"/>
  <c r="H138" i="9"/>
  <c r="G138" i="9"/>
  <c r="H137" i="9"/>
  <c r="G137" i="9"/>
  <c r="H136" i="9"/>
  <c r="G136" i="9"/>
  <c r="H135" i="9"/>
  <c r="G135" i="9"/>
  <c r="C135" i="9"/>
  <c r="C136" i="9" s="1"/>
  <c r="C137" i="9" s="1"/>
  <c r="C138" i="9" s="1"/>
  <c r="C139" i="9" s="1"/>
  <c r="C140" i="9" s="1"/>
  <c r="C141" i="9" s="1"/>
  <c r="C142" i="9" s="1"/>
  <c r="C143" i="9" s="1"/>
  <c r="C144" i="9" s="1"/>
  <c r="C145" i="9" s="1"/>
  <c r="C146" i="9" s="1"/>
  <c r="C147" i="9" s="1"/>
  <c r="C148" i="9" s="1"/>
  <c r="C149" i="9" s="1"/>
  <c r="H134" i="9"/>
  <c r="G134" i="9"/>
  <c r="H69" i="9"/>
  <c r="G69" i="9"/>
  <c r="H68" i="9"/>
  <c r="G68" i="9"/>
  <c r="H67" i="9"/>
  <c r="G67" i="9"/>
  <c r="H66" i="9"/>
  <c r="G66" i="9"/>
  <c r="H65" i="9"/>
  <c r="G65" i="9"/>
  <c r="H64" i="9"/>
  <c r="G64" i="9"/>
  <c r="H63" i="9"/>
  <c r="G63" i="9"/>
  <c r="H62" i="9"/>
  <c r="G62" i="9"/>
  <c r="H61" i="9"/>
  <c r="G61" i="9"/>
  <c r="H60" i="9"/>
  <c r="G60" i="9"/>
  <c r="H59" i="9"/>
  <c r="G59" i="9"/>
  <c r="H58" i="9"/>
  <c r="G58" i="9"/>
  <c r="H57" i="9"/>
  <c r="G57" i="9"/>
  <c r="H56" i="9"/>
  <c r="G56" i="9"/>
  <c r="H55" i="9"/>
  <c r="G55" i="9"/>
  <c r="C55" i="9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H54" i="9"/>
  <c r="G54" i="9"/>
  <c r="H133" i="9"/>
  <c r="G133" i="9"/>
  <c r="H132" i="9"/>
  <c r="G132" i="9"/>
  <c r="H131" i="9"/>
  <c r="G131" i="9"/>
  <c r="H130" i="9"/>
  <c r="G130" i="9"/>
  <c r="H129" i="9"/>
  <c r="G129" i="9"/>
  <c r="H128" i="9"/>
  <c r="G128" i="9"/>
  <c r="H127" i="9"/>
  <c r="G127" i="9"/>
  <c r="H126" i="9"/>
  <c r="G126" i="9"/>
  <c r="H125" i="9"/>
  <c r="G125" i="9"/>
  <c r="H124" i="9"/>
  <c r="G124" i="9"/>
  <c r="H123" i="9"/>
  <c r="G123" i="9"/>
  <c r="H122" i="9"/>
  <c r="G122" i="9"/>
  <c r="H121" i="9"/>
  <c r="G121" i="9"/>
  <c r="H120" i="9"/>
  <c r="G120" i="9"/>
  <c r="H119" i="9"/>
  <c r="G119" i="9"/>
  <c r="C119" i="9"/>
  <c r="C120" i="9" s="1"/>
  <c r="C121" i="9" s="1"/>
  <c r="C122" i="9" s="1"/>
  <c r="C123" i="9" s="1"/>
  <c r="C124" i="9" s="1"/>
  <c r="C125" i="9" s="1"/>
  <c r="C126" i="9" s="1"/>
  <c r="C127" i="9" s="1"/>
  <c r="C128" i="9" s="1"/>
  <c r="C129" i="9" s="1"/>
  <c r="C130" i="9" s="1"/>
  <c r="C131" i="9" s="1"/>
  <c r="C132" i="9" s="1"/>
  <c r="C133" i="9" s="1"/>
  <c r="H118" i="9"/>
  <c r="G118" i="9"/>
  <c r="H117" i="9"/>
  <c r="G117" i="9"/>
  <c r="H116" i="9"/>
  <c r="G116" i="9"/>
  <c r="H115" i="9"/>
  <c r="G115" i="9"/>
  <c r="H114" i="9"/>
  <c r="G114" i="9"/>
  <c r="H113" i="9"/>
  <c r="G113" i="9"/>
  <c r="H112" i="9"/>
  <c r="G112" i="9"/>
  <c r="H111" i="9"/>
  <c r="G111" i="9"/>
  <c r="H110" i="9"/>
  <c r="G110" i="9"/>
  <c r="H109" i="9"/>
  <c r="G109" i="9"/>
  <c r="H108" i="9"/>
  <c r="G108" i="9"/>
  <c r="H107" i="9"/>
  <c r="G107" i="9"/>
  <c r="H106" i="9"/>
  <c r="G106" i="9"/>
  <c r="H105" i="9"/>
  <c r="G105" i="9"/>
  <c r="H104" i="9"/>
  <c r="G104" i="9"/>
  <c r="H103" i="9"/>
  <c r="G103" i="9"/>
  <c r="C103" i="9"/>
  <c r="C104" i="9" s="1"/>
  <c r="C105" i="9" s="1"/>
  <c r="C106" i="9" s="1"/>
  <c r="C107" i="9" s="1"/>
  <c r="C108" i="9" s="1"/>
  <c r="C109" i="9" s="1"/>
  <c r="C110" i="9" s="1"/>
  <c r="C111" i="9" s="1"/>
  <c r="C112" i="9" s="1"/>
  <c r="C113" i="9" s="1"/>
  <c r="C114" i="9" s="1"/>
  <c r="C115" i="9" s="1"/>
  <c r="C116" i="9" s="1"/>
  <c r="C117" i="9" s="1"/>
  <c r="H102" i="9"/>
  <c r="G102" i="9"/>
  <c r="H101" i="9"/>
  <c r="G101" i="9"/>
  <c r="H100" i="9"/>
  <c r="G100" i="9"/>
  <c r="H99" i="9"/>
  <c r="G99" i="9"/>
  <c r="H98" i="9"/>
  <c r="G98" i="9"/>
  <c r="H97" i="9"/>
  <c r="G97" i="9"/>
  <c r="H96" i="9"/>
  <c r="G96" i="9"/>
  <c r="H95" i="9"/>
  <c r="G95" i="9"/>
  <c r="H94" i="9"/>
  <c r="G94" i="9"/>
  <c r="H93" i="9"/>
  <c r="G93" i="9"/>
  <c r="H92" i="9"/>
  <c r="G92" i="9"/>
  <c r="H91" i="9"/>
  <c r="G91" i="9"/>
  <c r="H90" i="9"/>
  <c r="G90" i="9"/>
  <c r="H89" i="9"/>
  <c r="G89" i="9"/>
  <c r="H88" i="9"/>
  <c r="G88" i="9"/>
  <c r="H87" i="9"/>
  <c r="G87" i="9"/>
  <c r="C87" i="9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H86" i="9"/>
  <c r="G86" i="9"/>
  <c r="H85" i="9"/>
  <c r="G85" i="9"/>
  <c r="H84" i="9"/>
  <c r="G84" i="9"/>
  <c r="H83" i="9"/>
  <c r="G83" i="9"/>
  <c r="H82" i="9"/>
  <c r="G82" i="9"/>
  <c r="H81" i="9"/>
  <c r="G81" i="9"/>
  <c r="H80" i="9"/>
  <c r="G80" i="9"/>
  <c r="H79" i="9"/>
  <c r="G79" i="9"/>
  <c r="H78" i="9"/>
  <c r="G78" i="9"/>
  <c r="H77" i="9"/>
  <c r="G77" i="9"/>
  <c r="H76" i="9"/>
  <c r="G76" i="9"/>
  <c r="H75" i="9"/>
  <c r="G75" i="9"/>
  <c r="H74" i="9"/>
  <c r="G74" i="9"/>
  <c r="H73" i="9"/>
  <c r="G73" i="9"/>
  <c r="H72" i="9"/>
  <c r="G72" i="9"/>
  <c r="H71" i="9"/>
  <c r="G71" i="9"/>
  <c r="C71" i="9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H70" i="9"/>
  <c r="G70" i="9"/>
  <c r="D358" i="7"/>
  <c r="D359" i="7" s="1"/>
  <c r="C358" i="7"/>
  <c r="C359" i="7" s="1"/>
  <c r="AB358" i="7"/>
  <c r="Y358" i="7"/>
  <c r="X358" i="7"/>
  <c r="W358" i="7"/>
  <c r="V358" i="7"/>
  <c r="U358" i="7"/>
  <c r="T358" i="7"/>
  <c r="S358" i="7"/>
  <c r="R358" i="7"/>
  <c r="Q358" i="7"/>
  <c r="P358" i="7"/>
  <c r="O358" i="7"/>
  <c r="D316" i="7"/>
  <c r="D317" i="7" s="1"/>
  <c r="C316" i="7"/>
  <c r="C317" i="7" s="1"/>
  <c r="Y316" i="7"/>
  <c r="X316" i="7"/>
  <c r="W316" i="7"/>
  <c r="V316" i="7"/>
  <c r="U316" i="7"/>
  <c r="E18" i="16"/>
  <c r="D18" i="16"/>
  <c r="F152" i="16"/>
  <c r="F151" i="16"/>
  <c r="G151" i="16" s="1"/>
  <c r="G152" i="16" l="1"/>
  <c r="H152" i="16" s="1"/>
  <c r="Y391" i="7"/>
  <c r="X391" i="7"/>
  <c r="W391" i="7"/>
  <c r="V391" i="7"/>
  <c r="U391" i="7"/>
  <c r="Y349" i="7"/>
  <c r="X349" i="7"/>
  <c r="W349" i="7"/>
  <c r="V349" i="7"/>
  <c r="U349" i="7"/>
  <c r="Y307" i="7"/>
  <c r="X307" i="7"/>
  <c r="W307" i="7"/>
  <c r="V307" i="7"/>
  <c r="U307" i="7"/>
  <c r="AB267" i="7"/>
  <c r="AB307" i="7" s="1"/>
  <c r="AB349" i="7" s="1"/>
  <c r="AB391" i="7" s="1"/>
  <c r="Y267" i="7"/>
  <c r="X267" i="7"/>
  <c r="W267" i="7"/>
  <c r="V267" i="7"/>
  <c r="U267" i="7"/>
  <c r="Y237" i="7"/>
  <c r="X237" i="7"/>
  <c r="W237" i="7"/>
  <c r="V237" i="7"/>
  <c r="U237" i="7"/>
  <c r="Y196" i="7"/>
  <c r="X196" i="7"/>
  <c r="W196" i="7"/>
  <c r="V196" i="7"/>
  <c r="U196" i="7"/>
  <c r="U197" i="7"/>
  <c r="V197" i="7"/>
  <c r="W197" i="7"/>
  <c r="X197" i="7"/>
  <c r="Y197" i="7"/>
  <c r="Y166" i="7"/>
  <c r="X166" i="7"/>
  <c r="W166" i="7"/>
  <c r="V166" i="7"/>
  <c r="U166" i="7"/>
  <c r="AB135" i="7"/>
  <c r="Y135" i="7"/>
  <c r="X135" i="7"/>
  <c r="W135" i="7"/>
  <c r="V135" i="7"/>
  <c r="T135" i="7"/>
  <c r="T267" i="7" s="1"/>
  <c r="T307" i="7" s="1"/>
  <c r="T349" i="7" s="1"/>
  <c r="T391" i="7" s="1"/>
  <c r="S135" i="7"/>
  <c r="S267" i="7" s="1"/>
  <c r="S307" i="7" s="1"/>
  <c r="S349" i="7" s="1"/>
  <c r="S391" i="7" s="1"/>
  <c r="R135" i="7"/>
  <c r="R267" i="7" s="1"/>
  <c r="R307" i="7" s="1"/>
  <c r="R349" i="7" s="1"/>
  <c r="R391" i="7" s="1"/>
  <c r="Q135" i="7"/>
  <c r="Q267" i="7" s="1"/>
  <c r="Q307" i="7" s="1"/>
  <c r="Q349" i="7" s="1"/>
  <c r="Q391" i="7" s="1"/>
  <c r="P135" i="7"/>
  <c r="P267" i="7" s="1"/>
  <c r="P307" i="7" s="1"/>
  <c r="P349" i="7" s="1"/>
  <c r="P391" i="7" s="1"/>
  <c r="O135" i="7"/>
  <c r="O267" i="7" s="1"/>
  <c r="O307" i="7" s="1"/>
  <c r="O349" i="7" s="1"/>
  <c r="O391" i="7" s="1"/>
  <c r="Y105" i="7"/>
  <c r="X105" i="7"/>
  <c r="W105" i="7"/>
  <c r="V105" i="7"/>
  <c r="U105" i="7"/>
  <c r="U135" i="7" s="1"/>
  <c r="X324" i="1"/>
  <c r="V324" i="1"/>
  <c r="U324" i="1"/>
  <c r="H324" i="1"/>
  <c r="W324" i="1" s="1"/>
  <c r="X293" i="1"/>
  <c r="V293" i="1"/>
  <c r="U293" i="1"/>
  <c r="H293" i="1"/>
  <c r="W293" i="1" s="1"/>
  <c r="X262" i="1"/>
  <c r="W262" i="1"/>
  <c r="V262" i="1"/>
  <c r="U262" i="1"/>
  <c r="AA232" i="1"/>
  <c r="AA262" i="1" s="1"/>
  <c r="AA293" i="1" s="1"/>
  <c r="AA324" i="1" s="1"/>
  <c r="X232" i="1"/>
  <c r="W232" i="1"/>
  <c r="V232" i="1"/>
  <c r="U232" i="1"/>
  <c r="X208" i="1"/>
  <c r="W208" i="1"/>
  <c r="V208" i="1"/>
  <c r="U208" i="1"/>
  <c r="X177" i="1"/>
  <c r="W177" i="1"/>
  <c r="V177" i="1"/>
  <c r="U177" i="1"/>
  <c r="X153" i="1"/>
  <c r="W153" i="1"/>
  <c r="V153" i="1"/>
  <c r="U153" i="1"/>
  <c r="AA128" i="1"/>
  <c r="X128" i="1"/>
  <c r="W128" i="1"/>
  <c r="V128" i="1"/>
  <c r="U128" i="1"/>
  <c r="T128" i="1"/>
  <c r="T232" i="1" s="1"/>
  <c r="T262" i="1" s="1"/>
  <c r="T293" i="1" s="1"/>
  <c r="T324" i="1" s="1"/>
  <c r="S128" i="1"/>
  <c r="S232" i="1" s="1"/>
  <c r="S262" i="1" s="1"/>
  <c r="S293" i="1" s="1"/>
  <c r="S324" i="1" s="1"/>
  <c r="R128" i="1"/>
  <c r="R232" i="1" s="1"/>
  <c r="R262" i="1" s="1"/>
  <c r="R293" i="1" s="1"/>
  <c r="R324" i="1" s="1"/>
  <c r="Q128" i="1"/>
  <c r="Q232" i="1" s="1"/>
  <c r="Q262" i="1" s="1"/>
  <c r="Q293" i="1" s="1"/>
  <c r="Q324" i="1" s="1"/>
  <c r="P128" i="1"/>
  <c r="P232" i="1" s="1"/>
  <c r="P262" i="1" s="1"/>
  <c r="P293" i="1" s="1"/>
  <c r="P324" i="1" s="1"/>
  <c r="O128" i="1"/>
  <c r="O232" i="1" s="1"/>
  <c r="O262" i="1" s="1"/>
  <c r="O293" i="1" s="1"/>
  <c r="O324" i="1" s="1"/>
  <c r="N128" i="1"/>
  <c r="N232" i="1" s="1"/>
  <c r="N262" i="1" s="1"/>
  <c r="N293" i="1" s="1"/>
  <c r="N324" i="1" s="1"/>
  <c r="M128" i="1"/>
  <c r="M232" i="1" s="1"/>
  <c r="M262" i="1" s="1"/>
  <c r="M293" i="1" s="1"/>
  <c r="M324" i="1" s="1"/>
  <c r="L128" i="1"/>
  <c r="L232" i="1" s="1"/>
  <c r="L262" i="1" s="1"/>
  <c r="L293" i="1" s="1"/>
  <c r="L324" i="1" s="1"/>
  <c r="K128" i="1"/>
  <c r="K232" i="1" s="1"/>
  <c r="K262" i="1" s="1"/>
  <c r="K293" i="1" s="1"/>
  <c r="K324" i="1" s="1"/>
  <c r="X104" i="1"/>
  <c r="W104" i="1"/>
  <c r="V104" i="1"/>
  <c r="U104" i="1"/>
  <c r="D112" i="17"/>
  <c r="D111" i="17"/>
  <c r="D109" i="17"/>
  <c r="D107" i="17"/>
  <c r="D106" i="17"/>
  <c r="D105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18" i="17"/>
  <c r="D17" i="17"/>
  <c r="D15" i="17"/>
  <c r="D14" i="17"/>
  <c r="D13" i="17"/>
  <c r="D12" i="17"/>
  <c r="D11" i="17"/>
  <c r="H112" i="17"/>
  <c r="H111" i="17"/>
  <c r="H109" i="17"/>
  <c r="H107" i="17"/>
  <c r="H106" i="17"/>
  <c r="H105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D116" i="17"/>
  <c r="D115" i="17"/>
  <c r="D114" i="17"/>
  <c r="D113" i="17"/>
  <c r="D110" i="17"/>
  <c r="D108" i="17"/>
  <c r="D104" i="17"/>
  <c r="D103" i="17"/>
  <c r="D102" i="17"/>
  <c r="D101" i="17"/>
  <c r="D100" i="17"/>
  <c r="D99" i="17"/>
  <c r="D98" i="17"/>
  <c r="D22" i="17"/>
  <c r="D21" i="17"/>
  <c r="D20" i="17"/>
  <c r="D19" i="17"/>
  <c r="D16" i="17"/>
  <c r="D10" i="17"/>
  <c r="D9" i="17"/>
  <c r="D8" i="17"/>
  <c r="D7" i="17"/>
  <c r="D6" i="17"/>
  <c r="D5" i="17"/>
  <c r="D4" i="17"/>
  <c r="Y233" i="7" l="1"/>
  <c r="X233" i="7"/>
  <c r="W233" i="7"/>
  <c r="V233" i="7"/>
  <c r="U233" i="7"/>
  <c r="AB387" i="7"/>
  <c r="Y387" i="7"/>
  <c r="X387" i="7"/>
  <c r="W387" i="7"/>
  <c r="V387" i="7"/>
  <c r="U387" i="7"/>
  <c r="T387" i="7"/>
  <c r="S387" i="7"/>
  <c r="R387" i="7"/>
  <c r="Q387" i="7"/>
  <c r="P387" i="7"/>
  <c r="O387" i="7"/>
  <c r="U346" i="7"/>
  <c r="V346" i="7"/>
  <c r="W346" i="7"/>
  <c r="X346" i="7"/>
  <c r="Y346" i="7"/>
  <c r="AA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H53" i="9"/>
  <c r="G53" i="9"/>
  <c r="H52" i="9"/>
  <c r="G52" i="9"/>
  <c r="H51" i="9"/>
  <c r="G51" i="9"/>
  <c r="H50" i="9"/>
  <c r="G50" i="9"/>
  <c r="H49" i="9"/>
  <c r="G49" i="9"/>
  <c r="H48" i="9"/>
  <c r="G48" i="9"/>
  <c r="H47" i="9"/>
  <c r="G47" i="9"/>
  <c r="H46" i="9"/>
  <c r="G46" i="9"/>
  <c r="H45" i="9"/>
  <c r="G45" i="9"/>
  <c r="H44" i="9"/>
  <c r="G44" i="9"/>
  <c r="H43" i="9"/>
  <c r="G43" i="9"/>
  <c r="H42" i="9"/>
  <c r="G42" i="9"/>
  <c r="H41" i="9"/>
  <c r="G41" i="9"/>
  <c r="H40" i="9"/>
  <c r="G40" i="9"/>
  <c r="H39" i="9"/>
  <c r="G39" i="9"/>
  <c r="C39" i="9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H38" i="9"/>
  <c r="G38" i="9"/>
  <c r="Y398" i="7"/>
  <c r="X398" i="7"/>
  <c r="W398" i="7"/>
  <c r="V398" i="7"/>
  <c r="U398" i="7"/>
  <c r="Y397" i="7"/>
  <c r="X397" i="7"/>
  <c r="W397" i="7"/>
  <c r="V397" i="7"/>
  <c r="U397" i="7"/>
  <c r="Y396" i="7"/>
  <c r="W396" i="7"/>
  <c r="U396" i="7"/>
  <c r="J396" i="7"/>
  <c r="X396" i="7" s="1"/>
  <c r="G396" i="7"/>
  <c r="V396" i="7" s="1"/>
  <c r="Y395" i="7"/>
  <c r="W395" i="7"/>
  <c r="V395" i="7"/>
  <c r="U395" i="7"/>
  <c r="J395" i="7"/>
  <c r="X395" i="7" s="1"/>
  <c r="Y394" i="7"/>
  <c r="W394" i="7"/>
  <c r="V394" i="7"/>
  <c r="U394" i="7"/>
  <c r="J394" i="7"/>
  <c r="X394" i="7" s="1"/>
  <c r="Y393" i="7"/>
  <c r="X393" i="7"/>
  <c r="W393" i="7"/>
  <c r="V393" i="7"/>
  <c r="U393" i="7"/>
  <c r="Y390" i="7"/>
  <c r="X390" i="7"/>
  <c r="W390" i="7"/>
  <c r="V390" i="7"/>
  <c r="U390" i="7"/>
  <c r="Y389" i="7"/>
  <c r="X389" i="7"/>
  <c r="W389" i="7"/>
  <c r="V389" i="7"/>
  <c r="U389" i="7"/>
  <c r="Y388" i="7"/>
  <c r="X388" i="7"/>
  <c r="W388" i="7"/>
  <c r="V388" i="7"/>
  <c r="U388" i="7"/>
  <c r="Y386" i="7"/>
  <c r="X386" i="7"/>
  <c r="W386" i="7"/>
  <c r="V386" i="7"/>
  <c r="U386" i="7"/>
  <c r="Y385" i="7"/>
  <c r="X385" i="7"/>
  <c r="W385" i="7"/>
  <c r="V385" i="7"/>
  <c r="U385" i="7"/>
  <c r="Y384" i="7"/>
  <c r="X384" i="7"/>
  <c r="W384" i="7"/>
  <c r="V384" i="7"/>
  <c r="U384" i="7"/>
  <c r="Y383" i="7"/>
  <c r="X383" i="7"/>
  <c r="W383" i="7"/>
  <c r="V383" i="7"/>
  <c r="U383" i="7"/>
  <c r="Y382" i="7"/>
  <c r="X382" i="7"/>
  <c r="W382" i="7"/>
  <c r="V382" i="7"/>
  <c r="U382" i="7"/>
  <c r="Y381" i="7"/>
  <c r="W381" i="7"/>
  <c r="U381" i="7"/>
  <c r="J381" i="7"/>
  <c r="X381" i="7" s="1"/>
  <c r="G381" i="7"/>
  <c r="V381" i="7" s="1"/>
  <c r="Y380" i="7"/>
  <c r="X380" i="7"/>
  <c r="W380" i="7"/>
  <c r="V380" i="7"/>
  <c r="U380" i="7"/>
  <c r="Y379" i="7"/>
  <c r="X379" i="7"/>
  <c r="W379" i="7"/>
  <c r="V379" i="7"/>
  <c r="U379" i="7"/>
  <c r="Y378" i="7"/>
  <c r="W378" i="7"/>
  <c r="V378" i="7"/>
  <c r="U378" i="7"/>
  <c r="J378" i="7"/>
  <c r="X378" i="7" s="1"/>
  <c r="Y377" i="7"/>
  <c r="X377" i="7"/>
  <c r="W377" i="7"/>
  <c r="V377" i="7"/>
  <c r="U377" i="7"/>
  <c r="Y376" i="7"/>
  <c r="X376" i="7"/>
  <c r="W376" i="7"/>
  <c r="V376" i="7"/>
  <c r="U376" i="7"/>
  <c r="Y375" i="7"/>
  <c r="X375" i="7"/>
  <c r="W375" i="7"/>
  <c r="V375" i="7"/>
  <c r="U375" i="7"/>
  <c r="Y374" i="7"/>
  <c r="W374" i="7"/>
  <c r="V374" i="7"/>
  <c r="U374" i="7"/>
  <c r="J374" i="7"/>
  <c r="X374" i="7" s="1"/>
  <c r="Y373" i="7"/>
  <c r="W373" i="7"/>
  <c r="V373" i="7"/>
  <c r="U373" i="7"/>
  <c r="J373" i="7"/>
  <c r="X373" i="7" s="1"/>
  <c r="Y372" i="7"/>
  <c r="X372" i="7"/>
  <c r="W372" i="7"/>
  <c r="V372" i="7"/>
  <c r="U372" i="7"/>
  <c r="Y371" i="7"/>
  <c r="X371" i="7"/>
  <c r="W371" i="7"/>
  <c r="V371" i="7"/>
  <c r="U371" i="7"/>
  <c r="Y370" i="7"/>
  <c r="X370" i="7"/>
  <c r="W370" i="7"/>
  <c r="V370" i="7"/>
  <c r="U370" i="7"/>
  <c r="Y369" i="7"/>
  <c r="X369" i="7"/>
  <c r="W369" i="7"/>
  <c r="V369" i="7"/>
  <c r="U369" i="7"/>
  <c r="Y368" i="7"/>
  <c r="X368" i="7"/>
  <c r="W368" i="7"/>
  <c r="V368" i="7"/>
  <c r="U368" i="7"/>
  <c r="Y367" i="7"/>
  <c r="W367" i="7"/>
  <c r="U367" i="7"/>
  <c r="J367" i="7"/>
  <c r="X367" i="7" s="1"/>
  <c r="G367" i="7"/>
  <c r="V367" i="7" s="1"/>
  <c r="Y366" i="7"/>
  <c r="X366" i="7"/>
  <c r="W366" i="7"/>
  <c r="V366" i="7"/>
  <c r="U366" i="7"/>
  <c r="Y365" i="7"/>
  <c r="X365" i="7"/>
  <c r="W365" i="7"/>
  <c r="V365" i="7"/>
  <c r="U365" i="7"/>
  <c r="Y364" i="7"/>
  <c r="W364" i="7"/>
  <c r="V364" i="7"/>
  <c r="U364" i="7"/>
  <c r="J364" i="7"/>
  <c r="X364" i="7" s="1"/>
  <c r="Y363" i="7"/>
  <c r="X363" i="7"/>
  <c r="W363" i="7"/>
  <c r="U363" i="7"/>
  <c r="G363" i="7"/>
  <c r="V363" i="7" s="1"/>
  <c r="Y362" i="7"/>
  <c r="X362" i="7"/>
  <c r="W362" i="7"/>
  <c r="V362" i="7"/>
  <c r="U362" i="7"/>
  <c r="Y361" i="7"/>
  <c r="X361" i="7"/>
  <c r="W361" i="7"/>
  <c r="V361" i="7"/>
  <c r="U361" i="7"/>
  <c r="Y360" i="7"/>
  <c r="W360" i="7"/>
  <c r="V360" i="7"/>
  <c r="U360" i="7"/>
  <c r="J360" i="7"/>
  <c r="X360" i="7" s="1"/>
  <c r="Y359" i="7"/>
  <c r="X359" i="7"/>
  <c r="W359" i="7"/>
  <c r="V359" i="7"/>
  <c r="U359" i="7"/>
  <c r="D360" i="7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C360" i="7"/>
  <c r="C361" i="7" s="1"/>
  <c r="C362" i="7" s="1"/>
  <c r="C363" i="7" s="1"/>
  <c r="C364" i="7" s="1"/>
  <c r="C365" i="7" s="1"/>
  <c r="C366" i="7" s="1"/>
  <c r="C367" i="7" s="1"/>
  <c r="C368" i="7" s="1"/>
  <c r="C369" i="7" s="1"/>
  <c r="C370" i="7" s="1"/>
  <c r="C371" i="7" s="1"/>
  <c r="C372" i="7" s="1"/>
  <c r="C373" i="7" s="1"/>
  <c r="C374" i="7" s="1"/>
  <c r="C375" i="7" s="1"/>
  <c r="C376" i="7" s="1"/>
  <c r="C377" i="7" s="1"/>
  <c r="C378" i="7" s="1"/>
  <c r="C379" i="7" s="1"/>
  <c r="C380" i="7" s="1"/>
  <c r="C381" i="7" s="1"/>
  <c r="C382" i="7" s="1"/>
  <c r="C383" i="7" s="1"/>
  <c r="C384" i="7" s="1"/>
  <c r="C385" i="7" s="1"/>
  <c r="C386" i="7" s="1"/>
  <c r="C387" i="7" s="1"/>
  <c r="C388" i="7" s="1"/>
  <c r="Y357" i="7"/>
  <c r="X357" i="7"/>
  <c r="W357" i="7"/>
  <c r="V357" i="7"/>
  <c r="U357" i="7"/>
  <c r="X323" i="1"/>
  <c r="V323" i="1"/>
  <c r="U323" i="1"/>
  <c r="H323" i="1"/>
  <c r="W323" i="1" s="1"/>
  <c r="X322" i="1"/>
  <c r="W322" i="1"/>
  <c r="V322" i="1"/>
  <c r="U322" i="1"/>
  <c r="X321" i="1"/>
  <c r="W321" i="1"/>
  <c r="V321" i="1"/>
  <c r="U321" i="1"/>
  <c r="X319" i="1"/>
  <c r="W319" i="1"/>
  <c r="V319" i="1"/>
  <c r="U319" i="1"/>
  <c r="X318" i="1"/>
  <c r="W318" i="1"/>
  <c r="V318" i="1"/>
  <c r="U318" i="1"/>
  <c r="X317" i="1"/>
  <c r="W317" i="1"/>
  <c r="V317" i="1"/>
  <c r="U317" i="1"/>
  <c r="X316" i="1"/>
  <c r="W316" i="1"/>
  <c r="V316" i="1"/>
  <c r="U316" i="1"/>
  <c r="X315" i="1"/>
  <c r="W315" i="1"/>
  <c r="V315" i="1"/>
  <c r="U315" i="1"/>
  <c r="X314" i="1"/>
  <c r="W314" i="1"/>
  <c r="V314" i="1"/>
  <c r="U314" i="1"/>
  <c r="X313" i="1"/>
  <c r="W313" i="1"/>
  <c r="V313" i="1"/>
  <c r="U313" i="1"/>
  <c r="X312" i="1"/>
  <c r="W312" i="1"/>
  <c r="V312" i="1"/>
  <c r="U312" i="1"/>
  <c r="X311" i="1"/>
  <c r="W311" i="1"/>
  <c r="V311" i="1"/>
  <c r="U311" i="1"/>
  <c r="X310" i="1"/>
  <c r="W310" i="1"/>
  <c r="V310" i="1"/>
  <c r="U310" i="1"/>
  <c r="X309" i="1"/>
  <c r="V309" i="1"/>
  <c r="U309" i="1"/>
  <c r="H309" i="1"/>
  <c r="W309" i="1" s="1"/>
  <c r="X308" i="1"/>
  <c r="W308" i="1"/>
  <c r="V308" i="1"/>
  <c r="U308" i="1"/>
  <c r="X307" i="1"/>
  <c r="W307" i="1"/>
  <c r="V307" i="1"/>
  <c r="U307" i="1"/>
  <c r="X306" i="1"/>
  <c r="W306" i="1"/>
  <c r="V306" i="1"/>
  <c r="U306" i="1"/>
  <c r="X305" i="1"/>
  <c r="W305" i="1"/>
  <c r="V305" i="1"/>
  <c r="U305" i="1"/>
  <c r="X304" i="1"/>
  <c r="W304" i="1"/>
  <c r="V304" i="1"/>
  <c r="U304" i="1"/>
  <c r="X303" i="1"/>
  <c r="W303" i="1"/>
  <c r="V303" i="1"/>
  <c r="U303" i="1"/>
  <c r="X302" i="1"/>
  <c r="W302" i="1"/>
  <c r="V302" i="1"/>
  <c r="U302" i="1"/>
  <c r="X301" i="1"/>
  <c r="W301" i="1"/>
  <c r="V301" i="1"/>
  <c r="U301" i="1"/>
  <c r="X300" i="1"/>
  <c r="W300" i="1"/>
  <c r="V300" i="1"/>
  <c r="U300" i="1"/>
  <c r="X299" i="1"/>
  <c r="W299" i="1"/>
  <c r="V299" i="1"/>
  <c r="U299" i="1"/>
  <c r="X298" i="1"/>
  <c r="W298" i="1"/>
  <c r="V298" i="1"/>
  <c r="U298" i="1"/>
  <c r="X297" i="1"/>
  <c r="W297" i="1"/>
  <c r="V297" i="1"/>
  <c r="U297" i="1"/>
  <c r="X296" i="1"/>
  <c r="W296" i="1"/>
  <c r="V296" i="1"/>
  <c r="U296" i="1"/>
  <c r="D296" i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C296" i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C310" i="1" s="1"/>
  <c r="C311" i="1" s="1"/>
  <c r="C312" i="1" s="1"/>
  <c r="C313" i="1" s="1"/>
  <c r="C314" i="1" s="1"/>
  <c r="C315" i="1" s="1"/>
  <c r="C316" i="1" s="1"/>
  <c r="C317" i="1" s="1"/>
  <c r="C318" i="1" s="1"/>
  <c r="C319" i="1" s="1"/>
  <c r="C320" i="1" s="1"/>
  <c r="C321" i="1" s="1"/>
  <c r="X295" i="1"/>
  <c r="W295" i="1"/>
  <c r="V295" i="1"/>
  <c r="U295" i="1"/>
  <c r="H248" i="1"/>
  <c r="W248" i="1" s="1"/>
  <c r="J298" i="7"/>
  <c r="X298" i="7" s="1"/>
  <c r="J295" i="7"/>
  <c r="X295" i="7" s="1"/>
  <c r="J291" i="7"/>
  <c r="X291" i="7" s="1"/>
  <c r="J290" i="7"/>
  <c r="X290" i="7" s="1"/>
  <c r="J284" i="7"/>
  <c r="X284" i="7" s="1"/>
  <c r="J281" i="7"/>
  <c r="X281" i="7" s="1"/>
  <c r="J277" i="7"/>
  <c r="X277" i="7" s="1"/>
  <c r="G298" i="7"/>
  <c r="V298" i="7" s="1"/>
  <c r="G284" i="7"/>
  <c r="V284" i="7" s="1"/>
  <c r="G280" i="7"/>
  <c r="V280" i="7" s="1"/>
  <c r="J311" i="7"/>
  <c r="X311" i="7" s="1"/>
  <c r="J310" i="7"/>
  <c r="X310" i="7" s="1"/>
  <c r="J309" i="7"/>
  <c r="X309" i="7" s="1"/>
  <c r="X300" i="7"/>
  <c r="X299" i="7"/>
  <c r="X297" i="7"/>
  <c r="X296" i="7"/>
  <c r="X292" i="7"/>
  <c r="X287" i="7"/>
  <c r="X283" i="7"/>
  <c r="X279" i="7"/>
  <c r="X276" i="7"/>
  <c r="G311" i="7"/>
  <c r="V311" i="7" s="1"/>
  <c r="V300" i="7"/>
  <c r="V299" i="7"/>
  <c r="V296" i="7"/>
  <c r="V295" i="7"/>
  <c r="V289" i="7"/>
  <c r="V287" i="7"/>
  <c r="V285" i="7"/>
  <c r="V282" i="7"/>
  <c r="V281" i="7"/>
  <c r="W261" i="1"/>
  <c r="W260" i="1"/>
  <c r="W255" i="1"/>
  <c r="W252" i="1"/>
  <c r="W250" i="1"/>
  <c r="W249" i="1"/>
  <c r="W246" i="1"/>
  <c r="W242" i="1"/>
  <c r="W327" i="1"/>
  <c r="W291" i="1"/>
  <c r="W290" i="1"/>
  <c r="W288" i="1"/>
  <c r="W287" i="1"/>
  <c r="W286" i="1"/>
  <c r="W285" i="1"/>
  <c r="W284" i="1"/>
  <c r="W283" i="1"/>
  <c r="W282" i="1"/>
  <c r="W281" i="1"/>
  <c r="W280" i="1"/>
  <c r="W279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59" i="1"/>
  <c r="W258" i="1"/>
  <c r="W257" i="1"/>
  <c r="W256" i="1"/>
  <c r="W254" i="1"/>
  <c r="W253" i="1"/>
  <c r="W251" i="1"/>
  <c r="W247" i="1"/>
  <c r="W245" i="1"/>
  <c r="W244" i="1"/>
  <c r="W243" i="1"/>
  <c r="W241" i="1"/>
  <c r="W240" i="1"/>
  <c r="W239" i="1"/>
  <c r="W238" i="1"/>
  <c r="W237" i="1"/>
  <c r="W236" i="1"/>
  <c r="W235" i="1"/>
  <c r="W234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7" i="1"/>
  <c r="W206" i="1"/>
  <c r="W205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H292" i="1"/>
  <c r="W292" i="1" s="1"/>
  <c r="H278" i="1"/>
  <c r="W278" i="1" s="1"/>
  <c r="J332" i="7"/>
  <c r="X332" i="7" s="1"/>
  <c r="J331" i="7"/>
  <c r="X331" i="7" s="1"/>
  <c r="J336" i="7"/>
  <c r="X336" i="7" s="1"/>
  <c r="J322" i="7"/>
  <c r="X322" i="7" s="1"/>
  <c r="J318" i="7"/>
  <c r="X318" i="7" s="1"/>
  <c r="G321" i="7"/>
  <c r="V321" i="7" s="1"/>
  <c r="J325" i="7"/>
  <c r="X325" i="7" s="1"/>
  <c r="G325" i="7"/>
  <c r="V325" i="7" s="1"/>
  <c r="J339" i="7"/>
  <c r="X339" i="7" s="1"/>
  <c r="G339" i="7"/>
  <c r="V339" i="7" s="1"/>
  <c r="G353" i="7"/>
  <c r="V353" i="7" s="1"/>
  <c r="J352" i="7"/>
  <c r="X352" i="7" s="1"/>
  <c r="J351" i="7"/>
  <c r="X351" i="7" s="1"/>
  <c r="J353" i="7"/>
  <c r="X353" i="7" s="1"/>
  <c r="X400" i="7"/>
  <c r="X355" i="7"/>
  <c r="X354" i="7"/>
  <c r="X350" i="7"/>
  <c r="X348" i="7"/>
  <c r="X347" i="7"/>
  <c r="X344" i="7"/>
  <c r="X343" i="7"/>
  <c r="X342" i="7"/>
  <c r="X341" i="7"/>
  <c r="X340" i="7"/>
  <c r="X338" i="7"/>
  <c r="X337" i="7"/>
  <c r="X335" i="7"/>
  <c r="X334" i="7"/>
  <c r="X333" i="7"/>
  <c r="X330" i="7"/>
  <c r="X329" i="7"/>
  <c r="X328" i="7"/>
  <c r="X327" i="7"/>
  <c r="X326" i="7"/>
  <c r="X324" i="7"/>
  <c r="X323" i="7"/>
  <c r="X321" i="7"/>
  <c r="X320" i="7"/>
  <c r="X319" i="7"/>
  <c r="X317" i="7"/>
  <c r="X315" i="7"/>
  <c r="X313" i="7"/>
  <c r="X312" i="7"/>
  <c r="X308" i="7"/>
  <c r="X306" i="7"/>
  <c r="X305" i="7"/>
  <c r="X304" i="7"/>
  <c r="X303" i="7"/>
  <c r="X302" i="7"/>
  <c r="X301" i="7"/>
  <c r="X294" i="7"/>
  <c r="X293" i="7"/>
  <c r="X289" i="7"/>
  <c r="X288" i="7"/>
  <c r="X286" i="7"/>
  <c r="X285" i="7"/>
  <c r="X282" i="7"/>
  <c r="X280" i="7"/>
  <c r="X278" i="7"/>
  <c r="X275" i="7"/>
  <c r="X273" i="7"/>
  <c r="X272" i="7"/>
  <c r="X271" i="7"/>
  <c r="X270" i="7"/>
  <c r="X269" i="7"/>
  <c r="X268" i="7"/>
  <c r="X266" i="7"/>
  <c r="X265" i="7"/>
  <c r="X264" i="7"/>
  <c r="X263" i="7"/>
  <c r="X262" i="7"/>
  <c r="X261" i="7"/>
  <c r="X260" i="7"/>
  <c r="X259" i="7"/>
  <c r="X258" i="7"/>
  <c r="X257" i="7"/>
  <c r="X256" i="7"/>
  <c r="X255" i="7"/>
  <c r="X254" i="7"/>
  <c r="X253" i="7"/>
  <c r="X252" i="7"/>
  <c r="X251" i="7"/>
  <c r="X250" i="7"/>
  <c r="X249" i="7"/>
  <c r="X248" i="7"/>
  <c r="X247" i="7"/>
  <c r="X246" i="7"/>
  <c r="X245" i="7"/>
  <c r="X243" i="7"/>
  <c r="X242" i="7"/>
  <c r="X241" i="7"/>
  <c r="X240" i="7"/>
  <c r="X239" i="7"/>
  <c r="X238" i="7"/>
  <c r="X236" i="7"/>
  <c r="X235" i="7"/>
  <c r="X234" i="7"/>
  <c r="X232" i="7"/>
  <c r="X231" i="7"/>
  <c r="X230" i="7"/>
  <c r="X229" i="7"/>
  <c r="X228" i="7"/>
  <c r="X227" i="7"/>
  <c r="X226" i="7"/>
  <c r="X225" i="7"/>
  <c r="X224" i="7"/>
  <c r="X223" i="7"/>
  <c r="X222" i="7"/>
  <c r="X221" i="7"/>
  <c r="X220" i="7"/>
  <c r="X219" i="7"/>
  <c r="X218" i="7"/>
  <c r="X217" i="7"/>
  <c r="X216" i="7"/>
  <c r="X215" i="7"/>
  <c r="X214" i="7"/>
  <c r="X213" i="7"/>
  <c r="X212" i="7"/>
  <c r="X211" i="7"/>
  <c r="X210" i="7"/>
  <c r="X209" i="7"/>
  <c r="X208" i="7"/>
  <c r="X207" i="7"/>
  <c r="X206" i="7"/>
  <c r="X205" i="7"/>
  <c r="X204" i="7"/>
  <c r="X202" i="7"/>
  <c r="X201" i="7"/>
  <c r="X200" i="7"/>
  <c r="X199" i="7"/>
  <c r="X198" i="7"/>
  <c r="X195" i="7"/>
  <c r="X194" i="7"/>
  <c r="X193" i="7"/>
  <c r="X192" i="7"/>
  <c r="X191" i="7"/>
  <c r="X190" i="7"/>
  <c r="X189" i="7"/>
  <c r="X188" i="7"/>
  <c r="X187" i="7"/>
  <c r="X186" i="7"/>
  <c r="X185" i="7"/>
  <c r="X184" i="7"/>
  <c r="X183" i="7"/>
  <c r="X182" i="7"/>
  <c r="X181" i="7"/>
  <c r="X180" i="7"/>
  <c r="X179" i="7"/>
  <c r="X178" i="7"/>
  <c r="X177" i="7"/>
  <c r="X176" i="7"/>
  <c r="X175" i="7"/>
  <c r="X174" i="7"/>
  <c r="X172" i="7"/>
  <c r="X171" i="7"/>
  <c r="X170" i="7"/>
  <c r="X169" i="7"/>
  <c r="X168" i="7"/>
  <c r="X167" i="7"/>
  <c r="X165" i="7"/>
  <c r="X164" i="7"/>
  <c r="X163" i="7"/>
  <c r="X162" i="7"/>
  <c r="X161" i="7"/>
  <c r="X160" i="7"/>
  <c r="X159" i="7"/>
  <c r="X158" i="7"/>
  <c r="X157" i="7"/>
  <c r="X156" i="7"/>
  <c r="X155" i="7"/>
  <c r="X154" i="7"/>
  <c r="X153" i="7"/>
  <c r="X152" i="7"/>
  <c r="X151" i="7"/>
  <c r="X150" i="7"/>
  <c r="X149" i="7"/>
  <c r="X148" i="7"/>
  <c r="X147" i="7"/>
  <c r="X146" i="7"/>
  <c r="X145" i="7"/>
  <c r="X144" i="7"/>
  <c r="X141" i="7"/>
  <c r="X140" i="7"/>
  <c r="X139" i="7"/>
  <c r="X138" i="7"/>
  <c r="X137" i="7"/>
  <c r="X136" i="7"/>
  <c r="X134" i="7"/>
  <c r="X133" i="7"/>
  <c r="X132" i="7"/>
  <c r="X131" i="7"/>
  <c r="X130" i="7"/>
  <c r="X129" i="7"/>
  <c r="X128" i="7"/>
  <c r="X127" i="7"/>
  <c r="X126" i="7"/>
  <c r="X125" i="7"/>
  <c r="X124" i="7"/>
  <c r="X123" i="7"/>
  <c r="X122" i="7"/>
  <c r="X121" i="7"/>
  <c r="X120" i="7"/>
  <c r="X119" i="7"/>
  <c r="X118" i="7"/>
  <c r="X117" i="7"/>
  <c r="X116" i="7"/>
  <c r="X115" i="7"/>
  <c r="X114" i="7"/>
  <c r="X113" i="7"/>
  <c r="X111" i="7"/>
  <c r="X110" i="7"/>
  <c r="X109" i="7"/>
  <c r="X108" i="7"/>
  <c r="X107" i="7"/>
  <c r="X106" i="7"/>
  <c r="X104" i="7"/>
  <c r="X103" i="7"/>
  <c r="X102" i="7"/>
  <c r="X101" i="7"/>
  <c r="X100" i="7"/>
  <c r="X99" i="7"/>
  <c r="X98" i="7"/>
  <c r="X97" i="7"/>
  <c r="X96" i="7"/>
  <c r="X95" i="7"/>
  <c r="X94" i="7"/>
  <c r="X93" i="7"/>
  <c r="X92" i="7"/>
  <c r="X91" i="7"/>
  <c r="X90" i="7"/>
  <c r="X89" i="7"/>
  <c r="X88" i="7"/>
  <c r="X87" i="7"/>
  <c r="X86" i="7"/>
  <c r="X85" i="7"/>
  <c r="X84" i="7"/>
  <c r="X83" i="7"/>
  <c r="V400" i="7"/>
  <c r="V355" i="7"/>
  <c r="V354" i="7"/>
  <c r="V352" i="7"/>
  <c r="V351" i="7"/>
  <c r="V350" i="7"/>
  <c r="V348" i="7"/>
  <c r="V347" i="7"/>
  <c r="V344" i="7"/>
  <c r="V343" i="7"/>
  <c r="V342" i="7"/>
  <c r="V341" i="7"/>
  <c r="V340" i="7"/>
  <c r="V338" i="7"/>
  <c r="V337" i="7"/>
  <c r="V336" i="7"/>
  <c r="V335" i="7"/>
  <c r="V334" i="7"/>
  <c r="V333" i="7"/>
  <c r="V332" i="7"/>
  <c r="V331" i="7"/>
  <c r="V330" i="7"/>
  <c r="V329" i="7"/>
  <c r="V328" i="7"/>
  <c r="V327" i="7"/>
  <c r="V326" i="7"/>
  <c r="V324" i="7"/>
  <c r="V323" i="7"/>
  <c r="V322" i="7"/>
  <c r="V320" i="7"/>
  <c r="V319" i="7"/>
  <c r="V318" i="7"/>
  <c r="V317" i="7"/>
  <c r="V315" i="7"/>
  <c r="V313" i="7"/>
  <c r="V312" i="7"/>
  <c r="V310" i="7"/>
  <c r="V309" i="7"/>
  <c r="V308" i="7"/>
  <c r="V306" i="7"/>
  <c r="V305" i="7"/>
  <c r="V304" i="7"/>
  <c r="V303" i="7"/>
  <c r="V302" i="7"/>
  <c r="V301" i="7"/>
  <c r="V297" i="7"/>
  <c r="V294" i="7"/>
  <c r="V293" i="7"/>
  <c r="V292" i="7"/>
  <c r="V291" i="7"/>
  <c r="V290" i="7"/>
  <c r="V288" i="7"/>
  <c r="V286" i="7"/>
  <c r="V283" i="7"/>
  <c r="V279" i="7"/>
  <c r="V278" i="7"/>
  <c r="V277" i="7"/>
  <c r="V276" i="7"/>
  <c r="V275" i="7"/>
  <c r="V273" i="7"/>
  <c r="V272" i="7"/>
  <c r="V271" i="7"/>
  <c r="V270" i="7"/>
  <c r="V269" i="7"/>
  <c r="V268" i="7"/>
  <c r="V266" i="7"/>
  <c r="V265" i="7"/>
  <c r="V264" i="7"/>
  <c r="V263" i="7"/>
  <c r="V262" i="7"/>
  <c r="V261" i="7"/>
  <c r="V260" i="7"/>
  <c r="V259" i="7"/>
  <c r="V258" i="7"/>
  <c r="V257" i="7"/>
  <c r="V256" i="7"/>
  <c r="V255" i="7"/>
  <c r="V254" i="7"/>
  <c r="V253" i="7"/>
  <c r="V252" i="7"/>
  <c r="V251" i="7"/>
  <c r="V250" i="7"/>
  <c r="V249" i="7"/>
  <c r="V248" i="7"/>
  <c r="V247" i="7"/>
  <c r="V246" i="7"/>
  <c r="V245" i="7"/>
  <c r="V243" i="7"/>
  <c r="V242" i="7"/>
  <c r="V241" i="7"/>
  <c r="V240" i="7"/>
  <c r="V239" i="7"/>
  <c r="V238" i="7"/>
  <c r="V236" i="7"/>
  <c r="V235" i="7"/>
  <c r="V234" i="7"/>
  <c r="V232" i="7"/>
  <c r="V231" i="7"/>
  <c r="V230" i="7"/>
  <c r="V229" i="7"/>
  <c r="V228" i="7"/>
  <c r="V227" i="7"/>
  <c r="V226" i="7"/>
  <c r="V225" i="7"/>
  <c r="V224" i="7"/>
  <c r="V223" i="7"/>
  <c r="V222" i="7"/>
  <c r="V221" i="7"/>
  <c r="V220" i="7"/>
  <c r="V219" i="7"/>
  <c r="V218" i="7"/>
  <c r="V217" i="7"/>
  <c r="V216" i="7"/>
  <c r="V215" i="7"/>
  <c r="V214" i="7"/>
  <c r="V213" i="7"/>
  <c r="V212" i="7"/>
  <c r="V211" i="7"/>
  <c r="V210" i="7"/>
  <c r="V209" i="7"/>
  <c r="V208" i="7"/>
  <c r="V207" i="7"/>
  <c r="V206" i="7"/>
  <c r="V205" i="7"/>
  <c r="V204" i="7"/>
  <c r="V202" i="7"/>
  <c r="V201" i="7"/>
  <c r="V200" i="7"/>
  <c r="V199" i="7"/>
  <c r="V198" i="7"/>
  <c r="V195" i="7"/>
  <c r="V194" i="7"/>
  <c r="V193" i="7"/>
  <c r="V192" i="7"/>
  <c r="V191" i="7"/>
  <c r="V190" i="7"/>
  <c r="V189" i="7"/>
  <c r="V188" i="7"/>
  <c r="V187" i="7"/>
  <c r="V186" i="7"/>
  <c r="V185" i="7"/>
  <c r="V184" i="7"/>
  <c r="V183" i="7"/>
  <c r="V182" i="7"/>
  <c r="V181" i="7"/>
  <c r="V180" i="7"/>
  <c r="V179" i="7"/>
  <c r="V178" i="7"/>
  <c r="V177" i="7"/>
  <c r="V176" i="7"/>
  <c r="V175" i="7"/>
  <c r="V174" i="7"/>
  <c r="V172" i="7"/>
  <c r="V171" i="7"/>
  <c r="V170" i="7"/>
  <c r="V169" i="7"/>
  <c r="V168" i="7"/>
  <c r="V167" i="7"/>
  <c r="V165" i="7"/>
  <c r="V164" i="7"/>
  <c r="V163" i="7"/>
  <c r="V162" i="7"/>
  <c r="V161" i="7"/>
  <c r="V160" i="7"/>
  <c r="V159" i="7"/>
  <c r="V158" i="7"/>
  <c r="V157" i="7"/>
  <c r="V156" i="7"/>
  <c r="V155" i="7"/>
  <c r="V154" i="7"/>
  <c r="V153" i="7"/>
  <c r="V152" i="7"/>
  <c r="V151" i="7"/>
  <c r="V150" i="7"/>
  <c r="V149" i="7"/>
  <c r="V148" i="7"/>
  <c r="V147" i="7"/>
  <c r="V146" i="7"/>
  <c r="V145" i="7"/>
  <c r="V144" i="7"/>
  <c r="V141" i="7"/>
  <c r="V140" i="7"/>
  <c r="V139" i="7"/>
  <c r="V138" i="7"/>
  <c r="V137" i="7"/>
  <c r="V136" i="7"/>
  <c r="V134" i="7"/>
  <c r="V133" i="7"/>
  <c r="V132" i="7"/>
  <c r="V131" i="7"/>
  <c r="V130" i="7"/>
  <c r="V129" i="7"/>
  <c r="V128" i="7"/>
  <c r="V127" i="7"/>
  <c r="V126" i="7"/>
  <c r="V125" i="7"/>
  <c r="V124" i="7"/>
  <c r="V123" i="7"/>
  <c r="V122" i="7"/>
  <c r="V121" i="7"/>
  <c r="V120" i="7"/>
  <c r="V119" i="7"/>
  <c r="V118" i="7"/>
  <c r="V117" i="7"/>
  <c r="V116" i="7"/>
  <c r="V115" i="7"/>
  <c r="V114" i="7"/>
  <c r="V113" i="7"/>
  <c r="V111" i="7"/>
  <c r="V110" i="7"/>
  <c r="V109" i="7"/>
  <c r="V108" i="7"/>
  <c r="V107" i="7"/>
  <c r="V106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90" i="7"/>
  <c r="V89" i="7"/>
  <c r="V88" i="7"/>
  <c r="V87" i="7"/>
  <c r="V86" i="7"/>
  <c r="V85" i="7"/>
  <c r="V84" i="7"/>
  <c r="V83" i="7"/>
  <c r="G79" i="7"/>
  <c r="H79" i="7" s="1"/>
  <c r="I79" i="7" s="1"/>
  <c r="Y104" i="7"/>
  <c r="Y134" i="7"/>
  <c r="Y165" i="7"/>
  <c r="D389" i="7" l="1"/>
  <c r="D390" i="7" s="1"/>
  <c r="C389" i="7"/>
  <c r="C390" i="7" s="1"/>
  <c r="D322" i="1"/>
  <c r="D323" i="1" s="1"/>
  <c r="D324" i="1" s="1"/>
  <c r="D325" i="1" s="1"/>
  <c r="C322" i="1"/>
  <c r="C323" i="1" s="1"/>
  <c r="C324" i="1" s="1"/>
  <c r="C325" i="1" s="1"/>
  <c r="J79" i="7"/>
  <c r="K79" i="7" s="1"/>
  <c r="L79" i="7" s="1"/>
  <c r="Y348" i="7"/>
  <c r="W348" i="7"/>
  <c r="U348" i="7"/>
  <c r="Y306" i="7"/>
  <c r="W306" i="7"/>
  <c r="U306" i="7"/>
  <c r="AB266" i="7"/>
  <c r="AB306" i="7" s="1"/>
  <c r="AB348" i="7" s="1"/>
  <c r="AB390" i="7" s="1"/>
  <c r="Y266" i="7"/>
  <c r="W266" i="7"/>
  <c r="U266" i="7"/>
  <c r="Y236" i="7"/>
  <c r="W236" i="7"/>
  <c r="U236" i="7"/>
  <c r="Y195" i="7"/>
  <c r="W195" i="7"/>
  <c r="U195" i="7"/>
  <c r="W165" i="7"/>
  <c r="U165" i="7"/>
  <c r="AB134" i="7"/>
  <c r="W134" i="7"/>
  <c r="T134" i="7"/>
  <c r="T266" i="7" s="1"/>
  <c r="T306" i="7" s="1"/>
  <c r="T348" i="7" s="1"/>
  <c r="T390" i="7" s="1"/>
  <c r="S134" i="7"/>
  <c r="S266" i="7" s="1"/>
  <c r="S306" i="7" s="1"/>
  <c r="S348" i="7" s="1"/>
  <c r="S390" i="7" s="1"/>
  <c r="R134" i="7"/>
  <c r="R266" i="7" s="1"/>
  <c r="R306" i="7" s="1"/>
  <c r="R348" i="7" s="1"/>
  <c r="R390" i="7" s="1"/>
  <c r="Q134" i="7"/>
  <c r="Q266" i="7" s="1"/>
  <c r="Q306" i="7" s="1"/>
  <c r="Q348" i="7" s="1"/>
  <c r="Q390" i="7" s="1"/>
  <c r="P134" i="7"/>
  <c r="P266" i="7" s="1"/>
  <c r="P306" i="7" s="1"/>
  <c r="P348" i="7" s="1"/>
  <c r="P390" i="7" s="1"/>
  <c r="O134" i="7"/>
  <c r="O266" i="7" s="1"/>
  <c r="O306" i="7" s="1"/>
  <c r="O348" i="7" s="1"/>
  <c r="O390" i="7" s="1"/>
  <c r="W104" i="7"/>
  <c r="U104" i="7"/>
  <c r="U134" i="7" s="1"/>
  <c r="X292" i="1"/>
  <c r="V292" i="1"/>
  <c r="U292" i="1"/>
  <c r="X261" i="1"/>
  <c r="V261" i="1"/>
  <c r="U261" i="1"/>
  <c r="AA231" i="1"/>
  <c r="AA261" i="1" s="1"/>
  <c r="AA292" i="1" s="1"/>
  <c r="AA323" i="1" s="1"/>
  <c r="X231" i="1"/>
  <c r="V231" i="1"/>
  <c r="U231" i="1"/>
  <c r="X207" i="1"/>
  <c r="V207" i="1"/>
  <c r="U207" i="1"/>
  <c r="X176" i="1"/>
  <c r="V176" i="1"/>
  <c r="U176" i="1"/>
  <c r="X152" i="1"/>
  <c r="V152" i="1"/>
  <c r="U152" i="1"/>
  <c r="AA127" i="1"/>
  <c r="X127" i="1"/>
  <c r="V127" i="1"/>
  <c r="U127" i="1"/>
  <c r="T127" i="1"/>
  <c r="T231" i="1" s="1"/>
  <c r="T261" i="1" s="1"/>
  <c r="T292" i="1" s="1"/>
  <c r="T323" i="1" s="1"/>
  <c r="S127" i="1"/>
  <c r="S231" i="1" s="1"/>
  <c r="S261" i="1" s="1"/>
  <c r="S292" i="1" s="1"/>
  <c r="S323" i="1" s="1"/>
  <c r="R127" i="1"/>
  <c r="R231" i="1" s="1"/>
  <c r="R261" i="1" s="1"/>
  <c r="R292" i="1" s="1"/>
  <c r="R323" i="1" s="1"/>
  <c r="Q127" i="1"/>
  <c r="Q231" i="1" s="1"/>
  <c r="Q261" i="1" s="1"/>
  <c r="Q292" i="1" s="1"/>
  <c r="Q323" i="1" s="1"/>
  <c r="P127" i="1"/>
  <c r="P231" i="1" s="1"/>
  <c r="P261" i="1" s="1"/>
  <c r="P292" i="1" s="1"/>
  <c r="P323" i="1" s="1"/>
  <c r="O127" i="1"/>
  <c r="O231" i="1" s="1"/>
  <c r="O261" i="1" s="1"/>
  <c r="O292" i="1" s="1"/>
  <c r="O323" i="1" s="1"/>
  <c r="N127" i="1"/>
  <c r="N231" i="1" s="1"/>
  <c r="N261" i="1" s="1"/>
  <c r="N292" i="1" s="1"/>
  <c r="N323" i="1" s="1"/>
  <c r="M127" i="1"/>
  <c r="M231" i="1" s="1"/>
  <c r="M261" i="1" s="1"/>
  <c r="M292" i="1" s="1"/>
  <c r="M323" i="1" s="1"/>
  <c r="L127" i="1"/>
  <c r="L231" i="1" s="1"/>
  <c r="L261" i="1" s="1"/>
  <c r="L292" i="1" s="1"/>
  <c r="L323" i="1" s="1"/>
  <c r="K127" i="1"/>
  <c r="K231" i="1" s="1"/>
  <c r="K261" i="1" s="1"/>
  <c r="K292" i="1" s="1"/>
  <c r="K323" i="1" s="1"/>
  <c r="X103" i="1"/>
  <c r="V103" i="1"/>
  <c r="U103" i="1"/>
  <c r="C391" i="7" l="1"/>
  <c r="D391" i="7"/>
  <c r="Y400" i="7"/>
  <c r="Y355" i="7"/>
  <c r="Y354" i="7"/>
  <c r="Y353" i="7"/>
  <c r="Y352" i="7"/>
  <c r="Y351" i="7"/>
  <c r="Y350" i="7"/>
  <c r="Y347" i="7"/>
  <c r="Y344" i="7"/>
  <c r="Y343" i="7"/>
  <c r="Y342" i="7"/>
  <c r="Y341" i="7"/>
  <c r="Y340" i="7"/>
  <c r="Y339" i="7"/>
  <c r="Y338" i="7"/>
  <c r="Y337" i="7"/>
  <c r="Y336" i="7"/>
  <c r="Y335" i="7"/>
  <c r="Y334" i="7"/>
  <c r="Y333" i="7"/>
  <c r="Y332" i="7"/>
  <c r="Y331" i="7"/>
  <c r="Y330" i="7"/>
  <c r="Y329" i="7"/>
  <c r="Y328" i="7"/>
  <c r="Y327" i="7"/>
  <c r="Y326" i="7"/>
  <c r="Y325" i="7"/>
  <c r="Y324" i="7"/>
  <c r="Y323" i="7"/>
  <c r="Y322" i="7"/>
  <c r="Y321" i="7"/>
  <c r="Y320" i="7"/>
  <c r="Y319" i="7"/>
  <c r="Y318" i="7"/>
  <c r="Y317" i="7"/>
  <c r="Y315" i="7"/>
  <c r="Y313" i="7"/>
  <c r="Y312" i="7"/>
  <c r="Y311" i="7"/>
  <c r="Y310" i="7"/>
  <c r="Y309" i="7"/>
  <c r="Y308" i="7"/>
  <c r="Y305" i="7"/>
  <c r="Y304" i="7"/>
  <c r="Y303" i="7"/>
  <c r="Y302" i="7"/>
  <c r="Y301" i="7"/>
  <c r="Y300" i="7"/>
  <c r="Y299" i="7"/>
  <c r="Y298" i="7"/>
  <c r="Y297" i="7"/>
  <c r="Y296" i="7"/>
  <c r="Y295" i="7"/>
  <c r="Y294" i="7"/>
  <c r="Y293" i="7"/>
  <c r="Y292" i="7"/>
  <c r="Y291" i="7"/>
  <c r="Y290" i="7"/>
  <c r="Y289" i="7"/>
  <c r="Y288" i="7"/>
  <c r="Y287" i="7"/>
  <c r="Y286" i="7"/>
  <c r="Y285" i="7"/>
  <c r="Y284" i="7"/>
  <c r="Y283" i="7"/>
  <c r="Y282" i="7"/>
  <c r="Y281" i="7"/>
  <c r="Y280" i="7"/>
  <c r="Y279" i="7"/>
  <c r="Y278" i="7"/>
  <c r="Y277" i="7"/>
  <c r="Y276" i="7"/>
  <c r="Y275" i="7"/>
  <c r="Y273" i="7"/>
  <c r="Y272" i="7"/>
  <c r="Y271" i="7"/>
  <c r="Y270" i="7"/>
  <c r="Y269" i="7"/>
  <c r="Y268" i="7"/>
  <c r="Y265" i="7"/>
  <c r="Y264" i="7"/>
  <c r="Y263" i="7"/>
  <c r="Y262" i="7"/>
  <c r="Y261" i="7"/>
  <c r="Y260" i="7"/>
  <c r="Y259" i="7"/>
  <c r="Y258" i="7"/>
  <c r="Y257" i="7"/>
  <c r="Y256" i="7"/>
  <c r="Y255" i="7"/>
  <c r="Y254" i="7"/>
  <c r="Y253" i="7"/>
  <c r="Y252" i="7"/>
  <c r="Y251" i="7"/>
  <c r="Y250" i="7"/>
  <c r="Y249" i="7"/>
  <c r="Y248" i="7"/>
  <c r="Y247" i="7"/>
  <c r="Y246" i="7"/>
  <c r="Y245" i="7"/>
  <c r="Y243" i="7"/>
  <c r="Y242" i="7"/>
  <c r="Y241" i="7"/>
  <c r="Y240" i="7"/>
  <c r="Y239" i="7"/>
  <c r="Y238" i="7"/>
  <c r="Y235" i="7"/>
  <c r="Y234" i="7"/>
  <c r="Y232" i="7"/>
  <c r="Y231" i="7"/>
  <c r="Y230" i="7"/>
  <c r="Y229" i="7"/>
  <c r="Y228" i="7"/>
  <c r="Y227" i="7"/>
  <c r="Y226" i="7"/>
  <c r="Y225" i="7"/>
  <c r="Y224" i="7"/>
  <c r="Y223" i="7"/>
  <c r="Y222" i="7"/>
  <c r="Y221" i="7"/>
  <c r="Y220" i="7"/>
  <c r="Y219" i="7"/>
  <c r="Y218" i="7"/>
  <c r="Y217" i="7"/>
  <c r="Y216" i="7"/>
  <c r="Y215" i="7"/>
  <c r="Y214" i="7"/>
  <c r="Y213" i="7"/>
  <c r="Y212" i="7"/>
  <c r="Y211" i="7"/>
  <c r="Y210" i="7"/>
  <c r="Y209" i="7"/>
  <c r="Y208" i="7"/>
  <c r="Y207" i="7"/>
  <c r="Y206" i="7"/>
  <c r="Y205" i="7"/>
  <c r="Y204" i="7"/>
  <c r="Y202" i="7"/>
  <c r="Y201" i="7"/>
  <c r="Y200" i="7"/>
  <c r="Y199" i="7"/>
  <c r="Y198" i="7"/>
  <c r="Y194" i="7"/>
  <c r="Y193" i="7"/>
  <c r="Y192" i="7"/>
  <c r="Y191" i="7"/>
  <c r="Y190" i="7"/>
  <c r="Y189" i="7"/>
  <c r="Y188" i="7"/>
  <c r="Y187" i="7"/>
  <c r="Y186" i="7"/>
  <c r="Y185" i="7"/>
  <c r="Y184" i="7"/>
  <c r="Y183" i="7"/>
  <c r="Y182" i="7"/>
  <c r="Y181" i="7"/>
  <c r="Y180" i="7"/>
  <c r="Y179" i="7"/>
  <c r="Y178" i="7"/>
  <c r="Y177" i="7"/>
  <c r="Y176" i="7"/>
  <c r="Y175" i="7"/>
  <c r="Y174" i="7"/>
  <c r="Y172" i="7"/>
  <c r="Y171" i="7"/>
  <c r="Y170" i="7"/>
  <c r="Y169" i="7"/>
  <c r="Y168" i="7"/>
  <c r="Y167" i="7"/>
  <c r="Y164" i="7"/>
  <c r="Y163" i="7"/>
  <c r="Y162" i="7"/>
  <c r="Y161" i="7"/>
  <c r="Y160" i="7"/>
  <c r="Y159" i="7"/>
  <c r="Y158" i="7"/>
  <c r="Y157" i="7"/>
  <c r="Y156" i="7"/>
  <c r="Y155" i="7"/>
  <c r="Y154" i="7"/>
  <c r="Y153" i="7"/>
  <c r="Y152" i="7"/>
  <c r="Y151" i="7"/>
  <c r="Y150" i="7"/>
  <c r="Y149" i="7"/>
  <c r="Y148" i="7"/>
  <c r="Y147" i="7"/>
  <c r="Y146" i="7"/>
  <c r="Y145" i="7"/>
  <c r="Y144" i="7"/>
  <c r="Y141" i="7"/>
  <c r="Y140" i="7"/>
  <c r="Y139" i="7"/>
  <c r="Y138" i="7"/>
  <c r="Y137" i="7"/>
  <c r="Y136" i="7"/>
  <c r="Y133" i="7"/>
  <c r="Y132" i="7"/>
  <c r="Y131" i="7"/>
  <c r="Y130" i="7"/>
  <c r="Y129" i="7"/>
  <c r="Y128" i="7"/>
  <c r="Y127" i="7"/>
  <c r="Y126" i="7"/>
  <c r="Y125" i="7"/>
  <c r="Y124" i="7"/>
  <c r="Y123" i="7"/>
  <c r="Y122" i="7"/>
  <c r="Y121" i="7"/>
  <c r="Y120" i="7"/>
  <c r="Y119" i="7"/>
  <c r="Y118" i="7"/>
  <c r="Y117" i="7"/>
  <c r="Y116" i="7"/>
  <c r="Y115" i="7"/>
  <c r="Y114" i="7"/>
  <c r="Y113" i="7"/>
  <c r="Y111" i="7"/>
  <c r="Y110" i="7"/>
  <c r="Y109" i="7"/>
  <c r="Y108" i="7"/>
  <c r="Y107" i="7"/>
  <c r="Y106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D392" i="7" l="1"/>
  <c r="D393" i="7" s="1"/>
  <c r="D394" i="7" s="1"/>
  <c r="D395" i="7" s="1"/>
  <c r="D396" i="7" s="1"/>
  <c r="D397" i="7" s="1"/>
  <c r="D398" i="7" s="1"/>
  <c r="C392" i="7"/>
  <c r="C393" i="7" s="1"/>
  <c r="C394" i="7" s="1"/>
  <c r="C395" i="7" s="1"/>
  <c r="C396" i="7" s="1"/>
  <c r="C397" i="7" s="1"/>
  <c r="C398" i="7" s="1"/>
  <c r="S238" i="1"/>
  <c r="T251" i="1"/>
  <c r="T250" i="1"/>
  <c r="T249" i="1"/>
  <c r="X196" i="1" l="1"/>
  <c r="V196" i="1"/>
  <c r="U196" i="1"/>
  <c r="X195" i="1"/>
  <c r="V195" i="1"/>
  <c r="U195" i="1"/>
  <c r="X194" i="1"/>
  <c r="V194" i="1"/>
  <c r="U194" i="1"/>
  <c r="X189" i="1"/>
  <c r="V189" i="1"/>
  <c r="U189" i="1"/>
  <c r="X188" i="1"/>
  <c r="V188" i="1"/>
  <c r="U188" i="1"/>
  <c r="X183" i="1"/>
  <c r="V183" i="1"/>
  <c r="U183" i="1"/>
  <c r="W207" i="7"/>
  <c r="U207" i="7"/>
  <c r="W206" i="7"/>
  <c r="U206" i="7"/>
  <c r="W216" i="7"/>
  <c r="U216" i="7"/>
  <c r="W215" i="7"/>
  <c r="U215" i="7"/>
  <c r="W214" i="7"/>
  <c r="U214" i="7"/>
  <c r="W220" i="7"/>
  <c r="U220" i="7"/>
  <c r="W219" i="7"/>
  <c r="U219" i="7"/>
  <c r="W230" i="7"/>
  <c r="U230" i="7"/>
  <c r="W229" i="7"/>
  <c r="U229" i="7"/>
  <c r="W228" i="7"/>
  <c r="U228" i="7"/>
  <c r="W332" i="7" l="1"/>
  <c r="U332" i="7"/>
  <c r="T332" i="7"/>
  <c r="T374" i="7" s="1"/>
  <c r="S332" i="7"/>
  <c r="S374" i="7" s="1"/>
  <c r="R332" i="7"/>
  <c r="R374" i="7" s="1"/>
  <c r="Q332" i="7"/>
  <c r="Q374" i="7" s="1"/>
  <c r="P332" i="7"/>
  <c r="P374" i="7" s="1"/>
  <c r="O332" i="7"/>
  <c r="O374" i="7" s="1"/>
  <c r="W331" i="7"/>
  <c r="U331" i="7"/>
  <c r="T331" i="7"/>
  <c r="T373" i="7" s="1"/>
  <c r="S331" i="7"/>
  <c r="S373" i="7" s="1"/>
  <c r="R331" i="7"/>
  <c r="R373" i="7" s="1"/>
  <c r="Q331" i="7"/>
  <c r="Q373" i="7" s="1"/>
  <c r="P331" i="7"/>
  <c r="P373" i="7" s="1"/>
  <c r="O331" i="7"/>
  <c r="O373" i="7" s="1"/>
  <c r="W328" i="7"/>
  <c r="U328" i="7"/>
  <c r="T328" i="7"/>
  <c r="T370" i="7" s="1"/>
  <c r="S328" i="7"/>
  <c r="S370" i="7" s="1"/>
  <c r="R328" i="7"/>
  <c r="R370" i="7" s="1"/>
  <c r="Q328" i="7"/>
  <c r="Q370" i="7" s="1"/>
  <c r="P328" i="7"/>
  <c r="P370" i="7" s="1"/>
  <c r="O328" i="7"/>
  <c r="O370" i="7" s="1"/>
  <c r="W327" i="7"/>
  <c r="U327" i="7"/>
  <c r="T327" i="7"/>
  <c r="T369" i="7" s="1"/>
  <c r="S327" i="7"/>
  <c r="S369" i="7" s="1"/>
  <c r="R327" i="7"/>
  <c r="R369" i="7" s="1"/>
  <c r="Q327" i="7"/>
  <c r="Q369" i="7" s="1"/>
  <c r="P327" i="7"/>
  <c r="P369" i="7" s="1"/>
  <c r="O327" i="7"/>
  <c r="O369" i="7" s="1"/>
  <c r="W326" i="7"/>
  <c r="U326" i="7"/>
  <c r="T326" i="7"/>
  <c r="T368" i="7" s="1"/>
  <c r="S326" i="7"/>
  <c r="S368" i="7" s="1"/>
  <c r="R326" i="7"/>
  <c r="R368" i="7" s="1"/>
  <c r="Q326" i="7"/>
  <c r="Q368" i="7" s="1"/>
  <c r="P326" i="7"/>
  <c r="P368" i="7" s="1"/>
  <c r="O326" i="7"/>
  <c r="O368" i="7" s="1"/>
  <c r="AB342" i="7"/>
  <c r="AB384" i="7" s="1"/>
  <c r="AB341" i="7"/>
  <c r="AB383" i="7" s="1"/>
  <c r="AB340" i="7"/>
  <c r="AB382" i="7" s="1"/>
  <c r="AB332" i="7"/>
  <c r="AB374" i="7" s="1"/>
  <c r="AB331" i="7"/>
  <c r="AB373" i="7" s="1"/>
  <c r="AB328" i="7"/>
  <c r="AB370" i="7" s="1"/>
  <c r="AB327" i="7"/>
  <c r="AB369" i="7" s="1"/>
  <c r="AB326" i="7"/>
  <c r="AB368" i="7" s="1"/>
  <c r="AB319" i="7"/>
  <c r="AB361" i="7" s="1"/>
  <c r="AB318" i="7"/>
  <c r="AB360" i="7" s="1"/>
  <c r="W342" i="7"/>
  <c r="U342" i="7"/>
  <c r="T342" i="7"/>
  <c r="T384" i="7" s="1"/>
  <c r="S342" i="7"/>
  <c r="R342" i="7"/>
  <c r="Q342" i="7"/>
  <c r="Q384" i="7" s="1"/>
  <c r="P342" i="7"/>
  <c r="P384" i="7" s="1"/>
  <c r="O342" i="7"/>
  <c r="O384" i="7" s="1"/>
  <c r="W341" i="7"/>
  <c r="U341" i="7"/>
  <c r="T341" i="7"/>
  <c r="T383" i="7" s="1"/>
  <c r="S341" i="7"/>
  <c r="R341" i="7"/>
  <c r="Q341" i="7"/>
  <c r="Q383" i="7" s="1"/>
  <c r="P341" i="7"/>
  <c r="P383" i="7" s="1"/>
  <c r="O341" i="7"/>
  <c r="O383" i="7" s="1"/>
  <c r="W340" i="7"/>
  <c r="U340" i="7"/>
  <c r="T340" i="7"/>
  <c r="T382" i="7" s="1"/>
  <c r="S340" i="7"/>
  <c r="R340" i="7"/>
  <c r="Q340" i="7"/>
  <c r="Q382" i="7" s="1"/>
  <c r="P340" i="7"/>
  <c r="P382" i="7" s="1"/>
  <c r="O340" i="7"/>
  <c r="O382" i="7" s="1"/>
  <c r="W319" i="7"/>
  <c r="U319" i="7"/>
  <c r="T319" i="7"/>
  <c r="T361" i="7" s="1"/>
  <c r="S319" i="7"/>
  <c r="S361" i="7" s="1"/>
  <c r="R319" i="7"/>
  <c r="R361" i="7" s="1"/>
  <c r="Q319" i="7"/>
  <c r="Q361" i="7" s="1"/>
  <c r="P319" i="7"/>
  <c r="P361" i="7" s="1"/>
  <c r="O319" i="7"/>
  <c r="O361" i="7" s="1"/>
  <c r="W318" i="7"/>
  <c r="U318" i="7"/>
  <c r="T318" i="7"/>
  <c r="T360" i="7" s="1"/>
  <c r="S318" i="7"/>
  <c r="S360" i="7" s="1"/>
  <c r="R318" i="7"/>
  <c r="R360" i="7" s="1"/>
  <c r="Q318" i="7"/>
  <c r="Q360" i="7" s="1"/>
  <c r="P318" i="7"/>
  <c r="P360" i="7" s="1"/>
  <c r="O318" i="7"/>
  <c r="O360" i="7" s="1"/>
  <c r="W301" i="7"/>
  <c r="U301" i="7"/>
  <c r="W300" i="7"/>
  <c r="U300" i="7"/>
  <c r="W299" i="7"/>
  <c r="U299" i="7"/>
  <c r="W291" i="7"/>
  <c r="U291" i="7"/>
  <c r="W290" i="7"/>
  <c r="U290" i="7"/>
  <c r="W287" i="7"/>
  <c r="U287" i="7"/>
  <c r="W286" i="7"/>
  <c r="U286" i="7"/>
  <c r="W285" i="7"/>
  <c r="U285" i="7"/>
  <c r="W278" i="7"/>
  <c r="U278" i="7"/>
  <c r="W277" i="7"/>
  <c r="U277" i="7"/>
  <c r="AA281" i="1"/>
  <c r="AA312" i="1" s="1"/>
  <c r="AA279" i="1"/>
  <c r="AA310" i="1" s="1"/>
  <c r="AA280" i="1"/>
  <c r="AA311" i="1" s="1"/>
  <c r="AA274" i="1"/>
  <c r="AA305" i="1" s="1"/>
  <c r="AA273" i="1"/>
  <c r="AA304" i="1" s="1"/>
  <c r="AA268" i="1"/>
  <c r="AA299" i="1" s="1"/>
  <c r="X281" i="1"/>
  <c r="V281" i="1"/>
  <c r="U281" i="1"/>
  <c r="X280" i="1"/>
  <c r="V280" i="1"/>
  <c r="U280" i="1"/>
  <c r="X279" i="1"/>
  <c r="V279" i="1"/>
  <c r="U279" i="1"/>
  <c r="X274" i="1"/>
  <c r="V274" i="1"/>
  <c r="U274" i="1"/>
  <c r="X273" i="1"/>
  <c r="V273" i="1"/>
  <c r="U273" i="1"/>
  <c r="X268" i="1"/>
  <c r="V268" i="1"/>
  <c r="U268" i="1"/>
  <c r="T281" i="1"/>
  <c r="T312" i="1" s="1"/>
  <c r="S281" i="1"/>
  <c r="S312" i="1" s="1"/>
  <c r="R281" i="1"/>
  <c r="Q281" i="1"/>
  <c r="Q312" i="1" s="1"/>
  <c r="P281" i="1"/>
  <c r="P312" i="1" s="1"/>
  <c r="O281" i="1"/>
  <c r="O312" i="1" s="1"/>
  <c r="N281" i="1"/>
  <c r="N312" i="1" s="1"/>
  <c r="M281" i="1"/>
  <c r="M312" i="1" s="1"/>
  <c r="L281" i="1"/>
  <c r="L312" i="1" s="1"/>
  <c r="K281" i="1"/>
  <c r="K312" i="1" s="1"/>
  <c r="T280" i="1"/>
  <c r="T311" i="1" s="1"/>
  <c r="S280" i="1"/>
  <c r="S311" i="1" s="1"/>
  <c r="R280" i="1"/>
  <c r="Q280" i="1"/>
  <c r="Q311" i="1" s="1"/>
  <c r="P280" i="1"/>
  <c r="P311" i="1" s="1"/>
  <c r="O280" i="1"/>
  <c r="O311" i="1" s="1"/>
  <c r="N280" i="1"/>
  <c r="N311" i="1" s="1"/>
  <c r="M280" i="1"/>
  <c r="M311" i="1" s="1"/>
  <c r="L280" i="1"/>
  <c r="L311" i="1" s="1"/>
  <c r="K280" i="1"/>
  <c r="K311" i="1" s="1"/>
  <c r="T279" i="1"/>
  <c r="T310" i="1" s="1"/>
  <c r="S279" i="1"/>
  <c r="S310" i="1" s="1"/>
  <c r="R279" i="1"/>
  <c r="Q279" i="1"/>
  <c r="Q310" i="1" s="1"/>
  <c r="P279" i="1"/>
  <c r="P310" i="1" s="1"/>
  <c r="O279" i="1"/>
  <c r="O310" i="1" s="1"/>
  <c r="N279" i="1"/>
  <c r="N310" i="1" s="1"/>
  <c r="M279" i="1"/>
  <c r="M310" i="1" s="1"/>
  <c r="L279" i="1"/>
  <c r="L310" i="1" s="1"/>
  <c r="K279" i="1"/>
  <c r="K310" i="1" s="1"/>
  <c r="T274" i="1"/>
  <c r="T305" i="1" s="1"/>
  <c r="S274" i="1"/>
  <c r="S305" i="1" s="1"/>
  <c r="R274" i="1"/>
  <c r="R305" i="1" s="1"/>
  <c r="Q274" i="1"/>
  <c r="Q305" i="1" s="1"/>
  <c r="P274" i="1"/>
  <c r="P305" i="1" s="1"/>
  <c r="O274" i="1"/>
  <c r="O305" i="1" s="1"/>
  <c r="N274" i="1"/>
  <c r="N305" i="1" s="1"/>
  <c r="M274" i="1"/>
  <c r="M305" i="1" s="1"/>
  <c r="L274" i="1"/>
  <c r="L305" i="1" s="1"/>
  <c r="K274" i="1"/>
  <c r="K305" i="1" s="1"/>
  <c r="T273" i="1"/>
  <c r="T304" i="1" s="1"/>
  <c r="S273" i="1"/>
  <c r="S304" i="1" s="1"/>
  <c r="R273" i="1"/>
  <c r="R304" i="1" s="1"/>
  <c r="Q273" i="1"/>
  <c r="Q304" i="1" s="1"/>
  <c r="P273" i="1"/>
  <c r="P304" i="1" s="1"/>
  <c r="O273" i="1"/>
  <c r="O304" i="1" s="1"/>
  <c r="N273" i="1"/>
  <c r="N304" i="1" s="1"/>
  <c r="M273" i="1"/>
  <c r="M304" i="1" s="1"/>
  <c r="L273" i="1"/>
  <c r="L304" i="1" s="1"/>
  <c r="K273" i="1"/>
  <c r="K304" i="1" s="1"/>
  <c r="T268" i="1"/>
  <c r="T299" i="1" s="1"/>
  <c r="S268" i="1"/>
  <c r="S299" i="1" s="1"/>
  <c r="R268" i="1"/>
  <c r="R299" i="1" s="1"/>
  <c r="Q268" i="1"/>
  <c r="Q299" i="1" s="1"/>
  <c r="P268" i="1"/>
  <c r="P299" i="1" s="1"/>
  <c r="O268" i="1"/>
  <c r="O299" i="1" s="1"/>
  <c r="N268" i="1"/>
  <c r="N299" i="1" s="1"/>
  <c r="M268" i="1"/>
  <c r="M299" i="1" s="1"/>
  <c r="L268" i="1"/>
  <c r="L299" i="1" s="1"/>
  <c r="K268" i="1"/>
  <c r="K299" i="1" s="1"/>
  <c r="X251" i="1"/>
  <c r="V251" i="1"/>
  <c r="U251" i="1"/>
  <c r="X250" i="1"/>
  <c r="V250" i="1"/>
  <c r="U250" i="1"/>
  <c r="X249" i="1"/>
  <c r="V249" i="1"/>
  <c r="U249" i="1"/>
  <c r="X244" i="1"/>
  <c r="V244" i="1"/>
  <c r="U244" i="1"/>
  <c r="X243" i="1"/>
  <c r="V243" i="1"/>
  <c r="U243" i="1"/>
  <c r="X327" i="1"/>
  <c r="X291" i="1"/>
  <c r="X290" i="1"/>
  <c r="X288" i="1"/>
  <c r="X287" i="1"/>
  <c r="X286" i="1"/>
  <c r="X285" i="1"/>
  <c r="X284" i="1"/>
  <c r="X283" i="1"/>
  <c r="X282" i="1"/>
  <c r="X278" i="1"/>
  <c r="X277" i="1"/>
  <c r="X276" i="1"/>
  <c r="X275" i="1"/>
  <c r="X272" i="1"/>
  <c r="X271" i="1"/>
  <c r="X270" i="1"/>
  <c r="X269" i="1"/>
  <c r="X267" i="1"/>
  <c r="X266" i="1"/>
  <c r="X265" i="1"/>
  <c r="X264" i="1"/>
  <c r="X260" i="1"/>
  <c r="X259" i="1"/>
  <c r="X258" i="1"/>
  <c r="X257" i="1"/>
  <c r="X256" i="1"/>
  <c r="X255" i="1"/>
  <c r="X254" i="1"/>
  <c r="X253" i="1"/>
  <c r="X252" i="1"/>
  <c r="X248" i="1"/>
  <c r="X247" i="1"/>
  <c r="X246" i="1"/>
  <c r="X245" i="1"/>
  <c r="X242" i="1"/>
  <c r="X241" i="1"/>
  <c r="X240" i="1"/>
  <c r="X239" i="1"/>
  <c r="X238" i="1"/>
  <c r="X237" i="1"/>
  <c r="X236" i="1"/>
  <c r="X235" i="1"/>
  <c r="X234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6" i="1"/>
  <c r="X205" i="1"/>
  <c r="X203" i="1"/>
  <c r="X202" i="1"/>
  <c r="X201" i="1"/>
  <c r="X200" i="1"/>
  <c r="X199" i="1"/>
  <c r="X198" i="1"/>
  <c r="X197" i="1"/>
  <c r="X193" i="1"/>
  <c r="X192" i="1"/>
  <c r="X191" i="1"/>
  <c r="X190" i="1"/>
  <c r="X187" i="1"/>
  <c r="X186" i="1"/>
  <c r="X185" i="1"/>
  <c r="X184" i="1"/>
  <c r="X182" i="1"/>
  <c r="X181" i="1"/>
  <c r="X180" i="1"/>
  <c r="X179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V238" i="1"/>
  <c r="U238" i="1"/>
  <c r="W400" i="7" l="1"/>
  <c r="U400" i="7"/>
  <c r="V327" i="1"/>
  <c r="U327" i="1"/>
  <c r="C167" i="9" l="1"/>
  <c r="C168" i="9" s="1"/>
  <c r="C169" i="9" s="1"/>
  <c r="C170" i="9" s="1"/>
  <c r="C171" i="9" s="1"/>
  <c r="C172" i="9" s="1"/>
  <c r="C173" i="9" s="1"/>
  <c r="C174" i="9" s="1"/>
  <c r="C175" i="9" s="1"/>
  <c r="C176" i="9" s="1"/>
  <c r="C177" i="9" s="1"/>
  <c r="C178" i="9" s="1"/>
  <c r="C179" i="9" s="1"/>
  <c r="C180" i="9" s="1"/>
  <c r="C181" i="9" s="1"/>
  <c r="W355" i="7" l="1"/>
  <c r="U355" i="7"/>
  <c r="W354" i="7"/>
  <c r="U354" i="7"/>
  <c r="W353" i="7"/>
  <c r="U353" i="7"/>
  <c r="W352" i="7"/>
  <c r="U352" i="7"/>
  <c r="W351" i="7"/>
  <c r="U351" i="7"/>
  <c r="W350" i="7"/>
  <c r="U350" i="7"/>
  <c r="W347" i="7"/>
  <c r="U347" i="7"/>
  <c r="W344" i="7"/>
  <c r="U344" i="7"/>
  <c r="W343" i="7"/>
  <c r="U343" i="7"/>
  <c r="W339" i="7"/>
  <c r="U339" i="7"/>
  <c r="W338" i="7"/>
  <c r="U338" i="7"/>
  <c r="W337" i="7"/>
  <c r="U337" i="7"/>
  <c r="W336" i="7"/>
  <c r="U336" i="7"/>
  <c r="W335" i="7"/>
  <c r="U335" i="7"/>
  <c r="W334" i="7"/>
  <c r="U334" i="7"/>
  <c r="W333" i="7"/>
  <c r="U333" i="7"/>
  <c r="W330" i="7"/>
  <c r="U330" i="7"/>
  <c r="W329" i="7"/>
  <c r="U329" i="7"/>
  <c r="W325" i="7"/>
  <c r="U325" i="7"/>
  <c r="W324" i="7"/>
  <c r="U324" i="7"/>
  <c r="W323" i="7"/>
  <c r="U323" i="7"/>
  <c r="W322" i="7"/>
  <c r="U322" i="7"/>
  <c r="W321" i="7"/>
  <c r="U321" i="7"/>
  <c r="W320" i="7"/>
  <c r="U320" i="7"/>
  <c r="W317" i="7"/>
  <c r="U317" i="7"/>
  <c r="W315" i="7"/>
  <c r="U315" i="7"/>
  <c r="V291" i="1"/>
  <c r="U291" i="1"/>
  <c r="V290" i="1"/>
  <c r="U290" i="1"/>
  <c r="V288" i="1"/>
  <c r="U288" i="1"/>
  <c r="V287" i="1"/>
  <c r="U287" i="1"/>
  <c r="V286" i="1"/>
  <c r="U286" i="1"/>
  <c r="V285" i="1"/>
  <c r="U285" i="1"/>
  <c r="V284" i="1"/>
  <c r="U284" i="1"/>
  <c r="V283" i="1"/>
  <c r="U283" i="1"/>
  <c r="V282" i="1"/>
  <c r="U282" i="1"/>
  <c r="V278" i="1"/>
  <c r="U278" i="1"/>
  <c r="V277" i="1"/>
  <c r="U277" i="1"/>
  <c r="V276" i="1"/>
  <c r="U276" i="1"/>
  <c r="V275" i="1"/>
  <c r="U275" i="1"/>
  <c r="V272" i="1"/>
  <c r="U272" i="1"/>
  <c r="V271" i="1"/>
  <c r="U271" i="1"/>
  <c r="V270" i="1"/>
  <c r="U270" i="1"/>
  <c r="V269" i="1"/>
  <c r="U269" i="1"/>
  <c r="V267" i="1"/>
  <c r="U267" i="1"/>
  <c r="V266" i="1"/>
  <c r="U266" i="1"/>
  <c r="V265" i="1"/>
  <c r="U265" i="1"/>
  <c r="D265" i="1"/>
  <c r="D266" i="1" s="1"/>
  <c r="D267" i="1" s="1"/>
  <c r="C265" i="1"/>
  <c r="C266" i="1" s="1"/>
  <c r="C267" i="1" s="1"/>
  <c r="V264" i="1"/>
  <c r="U264" i="1"/>
  <c r="C318" i="7" l="1"/>
  <c r="C319" i="7" s="1"/>
  <c r="C320" i="7" s="1"/>
  <c r="C321" i="7" s="1"/>
  <c r="C322" i="7" s="1"/>
  <c r="C323" i="7" s="1"/>
  <c r="C324" i="7" s="1"/>
  <c r="C325" i="7" s="1"/>
  <c r="C326" i="7" s="1"/>
  <c r="C327" i="7" s="1"/>
  <c r="C328" i="7" s="1"/>
  <c r="C329" i="7" s="1"/>
  <c r="C330" i="7" s="1"/>
  <c r="C331" i="7" s="1"/>
  <c r="C332" i="7" s="1"/>
  <c r="C333" i="7" s="1"/>
  <c r="C334" i="7" s="1"/>
  <c r="C335" i="7" s="1"/>
  <c r="C336" i="7" s="1"/>
  <c r="C337" i="7" s="1"/>
  <c r="C338" i="7" s="1"/>
  <c r="C339" i="7" s="1"/>
  <c r="C340" i="7" s="1"/>
  <c r="C341" i="7" s="1"/>
  <c r="C342" i="7" s="1"/>
  <c r="C343" i="7" s="1"/>
  <c r="C344" i="7" s="1"/>
  <c r="C345" i="7" s="1"/>
  <c r="C346" i="7" s="1"/>
  <c r="D318" i="7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C268" i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D268" i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T51" i="14"/>
  <c r="U51" i="14" s="1"/>
  <c r="V51" i="14" s="1"/>
  <c r="T50" i="14"/>
  <c r="U50" i="14" s="1"/>
  <c r="V50" i="14" s="1"/>
  <c r="T49" i="14"/>
  <c r="U49" i="14" s="1"/>
  <c r="V49" i="14" s="1"/>
  <c r="T48" i="14"/>
  <c r="U48" i="14" s="1"/>
  <c r="V48" i="14" s="1"/>
  <c r="T47" i="14"/>
  <c r="U47" i="14" s="1"/>
  <c r="V47" i="14" s="1"/>
  <c r="T46" i="14"/>
  <c r="U46" i="14" s="1"/>
  <c r="V46" i="14" s="1"/>
  <c r="U45" i="14"/>
  <c r="T44" i="14"/>
  <c r="U44" i="14" s="1"/>
  <c r="V44" i="14" s="1"/>
  <c r="T43" i="14"/>
  <c r="U43" i="14" s="1"/>
  <c r="V43" i="14" s="1"/>
  <c r="T42" i="14"/>
  <c r="U42" i="14" s="1"/>
  <c r="V42" i="14" s="1"/>
  <c r="T41" i="14"/>
  <c r="U41" i="14" s="1"/>
  <c r="V41" i="14" s="1"/>
  <c r="T40" i="14"/>
  <c r="U40" i="14" s="1"/>
  <c r="V40" i="14" s="1"/>
  <c r="T39" i="14"/>
  <c r="U39" i="14" s="1"/>
  <c r="V39" i="14" s="1"/>
  <c r="T38" i="14"/>
  <c r="U38" i="14" s="1"/>
  <c r="V38" i="14" s="1"/>
  <c r="T37" i="14"/>
  <c r="U37" i="14" s="1"/>
  <c r="V37" i="14" s="1"/>
  <c r="T36" i="14"/>
  <c r="U36" i="14" s="1"/>
  <c r="V36" i="14" s="1"/>
  <c r="U35" i="14"/>
  <c r="V35" i="14" s="1"/>
  <c r="T35" i="14"/>
  <c r="T34" i="14"/>
  <c r="U34" i="14" s="1"/>
  <c r="V34" i="14" s="1"/>
  <c r="U33" i="14"/>
  <c r="T32" i="14"/>
  <c r="U32" i="14" s="1"/>
  <c r="V32" i="14" s="1"/>
  <c r="T31" i="14"/>
  <c r="U31" i="14" s="1"/>
  <c r="V31" i="14" s="1"/>
  <c r="T30" i="14"/>
  <c r="U30" i="14" s="1"/>
  <c r="V30" i="14" s="1"/>
  <c r="T29" i="14"/>
  <c r="U29" i="14" s="1"/>
  <c r="V29" i="14" s="1"/>
  <c r="T28" i="14"/>
  <c r="U28" i="14" s="1"/>
  <c r="V28" i="14" s="1"/>
  <c r="T27" i="14"/>
  <c r="U27" i="14" s="1"/>
  <c r="V27" i="14" s="1"/>
  <c r="T26" i="14"/>
  <c r="U26" i="14" s="1"/>
  <c r="V26" i="14" s="1"/>
  <c r="U25" i="14"/>
  <c r="V25" i="14" s="1"/>
  <c r="T25" i="14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T20" i="14"/>
  <c r="U20" i="14" s="1"/>
  <c r="V20" i="14" s="1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M51" i="14"/>
  <c r="M49" i="14"/>
  <c r="M48" i="14"/>
  <c r="M46" i="14"/>
  <c r="M45" i="14"/>
  <c r="M44" i="14"/>
  <c r="M43" i="14"/>
  <c r="M42" i="14"/>
  <c r="M39" i="14"/>
  <c r="M38" i="14"/>
  <c r="M36" i="14"/>
  <c r="M35" i="14"/>
  <c r="M34" i="14"/>
  <c r="M33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G51" i="14"/>
  <c r="G50" i="14"/>
  <c r="G47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5" i="14"/>
  <c r="G24" i="14"/>
  <c r="G22" i="14"/>
  <c r="G21" i="14"/>
  <c r="G20" i="14"/>
  <c r="G19" i="14"/>
  <c r="G18" i="14"/>
  <c r="M16" i="14"/>
  <c r="C347" i="7" l="1"/>
  <c r="C348" i="7" s="1"/>
  <c r="D347" i="7"/>
  <c r="D348" i="7" s="1"/>
  <c r="D291" i="1"/>
  <c r="D292" i="1" s="1"/>
  <c r="D293" i="1" s="1"/>
  <c r="C291" i="1"/>
  <c r="C292" i="1" s="1"/>
  <c r="C293" i="1" s="1"/>
  <c r="D66" i="14"/>
  <c r="D67" i="14" s="1"/>
  <c r="D68" i="14" s="1"/>
  <c r="D62" i="14"/>
  <c r="D63" i="14" s="1"/>
  <c r="D64" i="14" s="1"/>
  <c r="D58" i="14"/>
  <c r="D59" i="14" s="1"/>
  <c r="D60" i="14" s="1"/>
  <c r="C58" i="14"/>
  <c r="C59" i="14" s="1"/>
  <c r="C60" i="14" s="1"/>
  <c r="C61" i="14" s="1"/>
  <c r="C62" i="14" s="1"/>
  <c r="C63" i="14" s="1"/>
  <c r="C64" i="14" s="1"/>
  <c r="C65" i="14" s="1"/>
  <c r="C66" i="14" s="1"/>
  <c r="C67" i="14" s="1"/>
  <c r="C68" i="14" s="1"/>
  <c r="E47" i="14"/>
  <c r="E48" i="14" s="1"/>
  <c r="E49" i="14" s="1"/>
  <c r="E50" i="14" s="1"/>
  <c r="E51" i="14" s="1"/>
  <c r="E41" i="14"/>
  <c r="E42" i="14" s="1"/>
  <c r="E43" i="14" s="1"/>
  <c r="E44" i="14" s="1"/>
  <c r="E45" i="14" s="1"/>
  <c r="D41" i="14"/>
  <c r="D42" i="14" s="1"/>
  <c r="D43" i="14" s="1"/>
  <c r="D44" i="14" s="1"/>
  <c r="D45" i="14" s="1"/>
  <c r="D46" i="14" s="1"/>
  <c r="D47" i="14" s="1"/>
  <c r="D48" i="14" s="1"/>
  <c r="D49" i="14" s="1"/>
  <c r="D50" i="14" s="1"/>
  <c r="D51" i="14" s="1"/>
  <c r="E35" i="14"/>
  <c r="E36" i="14" s="1"/>
  <c r="E37" i="14" s="1"/>
  <c r="E38" i="14" s="1"/>
  <c r="E39" i="14" s="1"/>
  <c r="E29" i="14"/>
  <c r="E30" i="14" s="1"/>
  <c r="E31" i="14" s="1"/>
  <c r="E32" i="14" s="1"/>
  <c r="E33" i="14" s="1"/>
  <c r="D29" i="14"/>
  <c r="D30" i="14" s="1"/>
  <c r="D31" i="14" s="1"/>
  <c r="D32" i="14" s="1"/>
  <c r="D33" i="14" s="1"/>
  <c r="D34" i="14" s="1"/>
  <c r="D35" i="14" s="1"/>
  <c r="D36" i="14" s="1"/>
  <c r="D37" i="14" s="1"/>
  <c r="D38" i="14" s="1"/>
  <c r="D39" i="14" s="1"/>
  <c r="D349" i="7" l="1"/>
  <c r="D350" i="7" s="1"/>
  <c r="D351" i="7" s="1"/>
  <c r="D352" i="7" s="1"/>
  <c r="D353" i="7" s="1"/>
  <c r="D354" i="7" s="1"/>
  <c r="D355" i="7" s="1"/>
  <c r="C349" i="7"/>
  <c r="C350" i="7" s="1"/>
  <c r="C351" i="7" s="1"/>
  <c r="C352" i="7" s="1"/>
  <c r="C353" i="7" s="1"/>
  <c r="C354" i="7" s="1"/>
  <c r="C355" i="7" s="1"/>
  <c r="E23" i="14"/>
  <c r="E24" i="14" s="1"/>
  <c r="E25" i="14" s="1"/>
  <c r="E26" i="14" s="1"/>
  <c r="E27" i="14" s="1"/>
  <c r="D17" i="14"/>
  <c r="D18" i="14" s="1"/>
  <c r="D19" i="14" s="1"/>
  <c r="D20" i="14" s="1"/>
  <c r="D21" i="14" s="1"/>
  <c r="D22" i="14" s="1"/>
  <c r="D23" i="14" s="1"/>
  <c r="D24" i="14" s="1"/>
  <c r="D25" i="14" s="1"/>
  <c r="D26" i="14" s="1"/>
  <c r="D27" i="14" s="1"/>
  <c r="E17" i="14"/>
  <c r="E18" i="14" s="1"/>
  <c r="E19" i="14" s="1"/>
  <c r="E20" i="14" s="1"/>
  <c r="E21" i="14" s="1"/>
  <c r="C17" i="14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C44" i="14" s="1"/>
  <c r="C45" i="14" s="1"/>
  <c r="C46" i="14" s="1"/>
  <c r="C47" i="14" s="1"/>
  <c r="C48" i="14" s="1"/>
  <c r="C49" i="14" s="1"/>
  <c r="C50" i="14" s="1"/>
  <c r="C51" i="14" s="1"/>
  <c r="U103" i="7" l="1"/>
  <c r="V260" i="1" l="1"/>
  <c r="U260" i="1"/>
  <c r="AA230" i="1"/>
  <c r="AA260" i="1" s="1"/>
  <c r="AA291" i="1" s="1"/>
  <c r="AA322" i="1" s="1"/>
  <c r="V230" i="1"/>
  <c r="U230" i="1"/>
  <c r="AA126" i="1"/>
  <c r="V126" i="1"/>
  <c r="U126" i="1"/>
  <c r="T126" i="1"/>
  <c r="T230" i="1" s="1"/>
  <c r="T260" i="1" s="1"/>
  <c r="T291" i="1" s="1"/>
  <c r="T322" i="1" s="1"/>
  <c r="S126" i="1"/>
  <c r="S230" i="1" s="1"/>
  <c r="S260" i="1" s="1"/>
  <c r="S291" i="1" s="1"/>
  <c r="S322" i="1" s="1"/>
  <c r="R126" i="1"/>
  <c r="R230" i="1" s="1"/>
  <c r="R260" i="1" s="1"/>
  <c r="R291" i="1" s="1"/>
  <c r="R322" i="1" s="1"/>
  <c r="Q126" i="1"/>
  <c r="Q230" i="1" s="1"/>
  <c r="Q260" i="1" s="1"/>
  <c r="Q291" i="1" s="1"/>
  <c r="Q322" i="1" s="1"/>
  <c r="P126" i="1"/>
  <c r="P230" i="1" s="1"/>
  <c r="P260" i="1" s="1"/>
  <c r="P291" i="1" s="1"/>
  <c r="P322" i="1" s="1"/>
  <c r="O126" i="1"/>
  <c r="O230" i="1" s="1"/>
  <c r="O260" i="1" s="1"/>
  <c r="O291" i="1" s="1"/>
  <c r="O322" i="1" s="1"/>
  <c r="N126" i="1"/>
  <c r="N230" i="1" s="1"/>
  <c r="N260" i="1" s="1"/>
  <c r="N291" i="1" s="1"/>
  <c r="N322" i="1" s="1"/>
  <c r="M126" i="1"/>
  <c r="M230" i="1" s="1"/>
  <c r="M260" i="1" s="1"/>
  <c r="M291" i="1" s="1"/>
  <c r="M322" i="1" s="1"/>
  <c r="L126" i="1"/>
  <c r="L230" i="1" s="1"/>
  <c r="L260" i="1" s="1"/>
  <c r="L291" i="1" s="1"/>
  <c r="L322" i="1" s="1"/>
  <c r="K126" i="1"/>
  <c r="K230" i="1" s="1"/>
  <c r="K260" i="1" s="1"/>
  <c r="K291" i="1" s="1"/>
  <c r="W305" i="7" l="1"/>
  <c r="U305" i="7"/>
  <c r="AB265" i="7"/>
  <c r="AB305" i="7" s="1"/>
  <c r="AB347" i="7" s="1"/>
  <c r="AB389" i="7" s="1"/>
  <c r="W265" i="7"/>
  <c r="U265" i="7"/>
  <c r="W235" i="7"/>
  <c r="U235" i="7"/>
  <c r="W194" i="7"/>
  <c r="U194" i="7"/>
  <c r="W164" i="7"/>
  <c r="U164" i="7"/>
  <c r="AB133" i="7"/>
  <c r="W133" i="7"/>
  <c r="W141" i="7"/>
  <c r="U133" i="7"/>
  <c r="T133" i="7"/>
  <c r="T265" i="7" s="1"/>
  <c r="T305" i="7" s="1"/>
  <c r="T347" i="7" s="1"/>
  <c r="T389" i="7" s="1"/>
  <c r="S133" i="7"/>
  <c r="S265" i="7" s="1"/>
  <c r="S305" i="7" s="1"/>
  <c r="S347" i="7" s="1"/>
  <c r="S389" i="7" s="1"/>
  <c r="R133" i="7"/>
  <c r="R265" i="7" s="1"/>
  <c r="R305" i="7" s="1"/>
  <c r="R347" i="7" s="1"/>
  <c r="R389" i="7" s="1"/>
  <c r="Q133" i="7"/>
  <c r="Q265" i="7" s="1"/>
  <c r="Q305" i="7" s="1"/>
  <c r="Q347" i="7" s="1"/>
  <c r="Q389" i="7" s="1"/>
  <c r="P133" i="7"/>
  <c r="P265" i="7" s="1"/>
  <c r="P305" i="7" s="1"/>
  <c r="P347" i="7" s="1"/>
  <c r="P389" i="7" s="1"/>
  <c r="O133" i="7"/>
  <c r="O265" i="7" s="1"/>
  <c r="O305" i="7" s="1"/>
  <c r="O347" i="7" s="1"/>
  <c r="W103" i="7"/>
  <c r="V206" i="1" l="1"/>
  <c r="U206" i="1"/>
  <c r="V175" i="1"/>
  <c r="U175" i="1"/>
  <c r="V151" i="1"/>
  <c r="U151" i="1"/>
  <c r="C151" i="1"/>
  <c r="C152" i="1" s="1"/>
  <c r="C153" i="1" s="1"/>
  <c r="V102" i="1"/>
  <c r="U102" i="1"/>
  <c r="W313" i="7" l="1"/>
  <c r="U313" i="7"/>
  <c r="W312" i="7"/>
  <c r="U312" i="7"/>
  <c r="W311" i="7"/>
  <c r="U311" i="7"/>
  <c r="W310" i="7"/>
  <c r="U310" i="7"/>
  <c r="W309" i="7"/>
  <c r="U309" i="7"/>
  <c r="W308" i="7"/>
  <c r="U308" i="7"/>
  <c r="W304" i="7"/>
  <c r="U304" i="7"/>
  <c r="W303" i="7"/>
  <c r="U303" i="7"/>
  <c r="W302" i="7"/>
  <c r="U302" i="7"/>
  <c r="W298" i="7"/>
  <c r="U298" i="7"/>
  <c r="W297" i="7"/>
  <c r="U297" i="7"/>
  <c r="W296" i="7"/>
  <c r="U296" i="7"/>
  <c r="W295" i="7"/>
  <c r="U295" i="7"/>
  <c r="W294" i="7"/>
  <c r="U294" i="7"/>
  <c r="W293" i="7"/>
  <c r="U293" i="7"/>
  <c r="W292" i="7"/>
  <c r="U292" i="7"/>
  <c r="W289" i="7"/>
  <c r="U289" i="7"/>
  <c r="W288" i="7"/>
  <c r="U288" i="7"/>
  <c r="W284" i="7"/>
  <c r="U284" i="7"/>
  <c r="W283" i="7"/>
  <c r="U283" i="7"/>
  <c r="W282" i="7"/>
  <c r="U282" i="7"/>
  <c r="W281" i="7"/>
  <c r="U281" i="7"/>
  <c r="W280" i="7"/>
  <c r="U280" i="7"/>
  <c r="W279" i="7"/>
  <c r="U279" i="7"/>
  <c r="W276" i="7"/>
  <c r="U276" i="7"/>
  <c r="D276" i="7"/>
  <c r="C276" i="7"/>
  <c r="W275" i="7"/>
  <c r="U275" i="7"/>
  <c r="V259" i="1"/>
  <c r="U259" i="1"/>
  <c r="V258" i="1"/>
  <c r="U258" i="1"/>
  <c r="V257" i="1"/>
  <c r="U257" i="1"/>
  <c r="V256" i="1"/>
  <c r="U256" i="1"/>
  <c r="V255" i="1"/>
  <c r="U255" i="1"/>
  <c r="V254" i="1"/>
  <c r="U254" i="1"/>
  <c r="V253" i="1"/>
  <c r="U253" i="1"/>
  <c r="V252" i="1"/>
  <c r="U252" i="1"/>
  <c r="V248" i="1"/>
  <c r="U248" i="1"/>
  <c r="V247" i="1"/>
  <c r="U247" i="1"/>
  <c r="V246" i="1"/>
  <c r="U246" i="1"/>
  <c r="V245" i="1"/>
  <c r="U245" i="1"/>
  <c r="V242" i="1"/>
  <c r="U242" i="1"/>
  <c r="V241" i="1"/>
  <c r="U241" i="1"/>
  <c r="V240" i="1"/>
  <c r="U240" i="1"/>
  <c r="V239" i="1"/>
  <c r="U239" i="1"/>
  <c r="V237" i="1"/>
  <c r="U237" i="1"/>
  <c r="V236" i="1"/>
  <c r="U236" i="1"/>
  <c r="V235" i="1"/>
  <c r="U235" i="1"/>
  <c r="D235" i="1"/>
  <c r="D236" i="1" s="1"/>
  <c r="D237" i="1" s="1"/>
  <c r="D238" i="1" s="1"/>
  <c r="D239" i="1" s="1"/>
  <c r="C235" i="1"/>
  <c r="C236" i="1" s="1"/>
  <c r="C237" i="1" s="1"/>
  <c r="C238" i="1" s="1"/>
  <c r="C239" i="1" s="1"/>
  <c r="V234" i="1"/>
  <c r="U234" i="1"/>
  <c r="C277" i="7" l="1"/>
  <c r="C278" i="7" s="1"/>
  <c r="C279" i="7" s="1"/>
  <c r="C280" i="7" s="1"/>
  <c r="C281" i="7" s="1"/>
  <c r="C282" i="7" s="1"/>
  <c r="C283" i="7" s="1"/>
  <c r="C284" i="7" s="1"/>
  <c r="C285" i="7" s="1"/>
  <c r="C286" i="7" s="1"/>
  <c r="C287" i="7" s="1"/>
  <c r="C288" i="7" s="1"/>
  <c r="C289" i="7" s="1"/>
  <c r="C290" i="7" s="1"/>
  <c r="C291" i="7" s="1"/>
  <c r="C292" i="7" s="1"/>
  <c r="C293" i="7" s="1"/>
  <c r="C294" i="7" s="1"/>
  <c r="C295" i="7" s="1"/>
  <c r="C296" i="7" s="1"/>
  <c r="C297" i="7" s="1"/>
  <c r="C298" i="7" s="1"/>
  <c r="C299" i="7" s="1"/>
  <c r="C300" i="7" s="1"/>
  <c r="C301" i="7" s="1"/>
  <c r="C302" i="7" s="1"/>
  <c r="C303" i="7" s="1"/>
  <c r="C304" i="7" s="1"/>
  <c r="C305" i="7" s="1"/>
  <c r="C306" i="7" s="1"/>
  <c r="D277" i="7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240" i="1"/>
  <c r="D241" i="1" s="1"/>
  <c r="D242" i="1" s="1"/>
  <c r="C240" i="1"/>
  <c r="C241" i="1" s="1"/>
  <c r="C242" i="1" s="1"/>
  <c r="AB247" i="7"/>
  <c r="AB279" i="7" s="1"/>
  <c r="AB320" i="7" s="1"/>
  <c r="AB362" i="7" s="1"/>
  <c r="AB248" i="7"/>
  <c r="AB280" i="7" s="1"/>
  <c r="AB321" i="7" s="1"/>
  <c r="AB363" i="7" s="1"/>
  <c r="AB249" i="7"/>
  <c r="AB281" i="7" s="1"/>
  <c r="AB322" i="7" s="1"/>
  <c r="AB364" i="7" s="1"/>
  <c r="AB250" i="7"/>
  <c r="AB282" i="7" s="1"/>
  <c r="AB323" i="7" s="1"/>
  <c r="AB365" i="7" s="1"/>
  <c r="AB251" i="7"/>
  <c r="AB283" i="7" s="1"/>
  <c r="AB324" i="7" s="1"/>
  <c r="AB366" i="7" s="1"/>
  <c r="AB252" i="7"/>
  <c r="AB284" i="7" s="1"/>
  <c r="AB325" i="7" s="1"/>
  <c r="AB367" i="7" s="1"/>
  <c r="AB253" i="7"/>
  <c r="AB288" i="7" s="1"/>
  <c r="AB329" i="7" s="1"/>
  <c r="AB371" i="7" s="1"/>
  <c r="AB254" i="7"/>
  <c r="AB289" i="7" s="1"/>
  <c r="AB330" i="7" s="1"/>
  <c r="AB372" i="7" s="1"/>
  <c r="AB255" i="7"/>
  <c r="AB292" i="7" s="1"/>
  <c r="AB333" i="7" s="1"/>
  <c r="AB375" i="7" s="1"/>
  <c r="AB256" i="7"/>
  <c r="AB293" i="7" s="1"/>
  <c r="AB334" i="7" s="1"/>
  <c r="AB376" i="7" s="1"/>
  <c r="AB257" i="7"/>
  <c r="AB294" i="7" s="1"/>
  <c r="AB335" i="7" s="1"/>
  <c r="AB377" i="7" s="1"/>
  <c r="AB258" i="7"/>
  <c r="AB295" i="7" s="1"/>
  <c r="AB336" i="7" s="1"/>
  <c r="AB378" i="7" s="1"/>
  <c r="AB259" i="7"/>
  <c r="AB296" i="7" s="1"/>
  <c r="AB337" i="7" s="1"/>
  <c r="AB379" i="7" s="1"/>
  <c r="AB260" i="7"/>
  <c r="AB261" i="7"/>
  <c r="AB262" i="7"/>
  <c r="AB302" i="7" s="1"/>
  <c r="AB343" i="7" s="1"/>
  <c r="AB385" i="7" s="1"/>
  <c r="AB263" i="7"/>
  <c r="AB303" i="7" s="1"/>
  <c r="AB344" i="7" s="1"/>
  <c r="AB386" i="7" s="1"/>
  <c r="AB264" i="7"/>
  <c r="AB304" i="7" s="1"/>
  <c r="AB268" i="7"/>
  <c r="AB308" i="7" s="1"/>
  <c r="AB350" i="7" s="1"/>
  <c r="AB393" i="7" s="1"/>
  <c r="AB269" i="7"/>
  <c r="AB309" i="7" s="1"/>
  <c r="AB351" i="7" s="1"/>
  <c r="AB394" i="7" s="1"/>
  <c r="AB270" i="7"/>
  <c r="AB310" i="7" s="1"/>
  <c r="AB352" i="7" s="1"/>
  <c r="AB395" i="7" s="1"/>
  <c r="AB271" i="7"/>
  <c r="AB272" i="7"/>
  <c r="AB273" i="7"/>
  <c r="AA219" i="1"/>
  <c r="AA246" i="1" s="1"/>
  <c r="AA276" i="1" s="1"/>
  <c r="AA307" i="1" s="1"/>
  <c r="AA220" i="1"/>
  <c r="AA247" i="1" s="1"/>
  <c r="AA277" i="1" s="1"/>
  <c r="AA308" i="1" s="1"/>
  <c r="AA221" i="1"/>
  <c r="AA248" i="1" s="1"/>
  <c r="AA278" i="1" s="1"/>
  <c r="AA309" i="1" s="1"/>
  <c r="AA222" i="1"/>
  <c r="AA252" i="1" s="1"/>
  <c r="AA282" i="1" s="1"/>
  <c r="AA313" i="1" s="1"/>
  <c r="AA223" i="1"/>
  <c r="AA253" i="1" s="1"/>
  <c r="AA283" i="1" s="1"/>
  <c r="AA314" i="1" s="1"/>
  <c r="AA224" i="1"/>
  <c r="AA254" i="1" s="1"/>
  <c r="AA284" i="1" s="1"/>
  <c r="AA315" i="1" s="1"/>
  <c r="AA225" i="1"/>
  <c r="AA255" i="1" s="1"/>
  <c r="AA285" i="1" s="1"/>
  <c r="AA316" i="1" s="1"/>
  <c r="AA226" i="1"/>
  <c r="AA256" i="1" s="1"/>
  <c r="AA286" i="1" s="1"/>
  <c r="AA317" i="1" s="1"/>
  <c r="AA227" i="1"/>
  <c r="AA257" i="1" s="1"/>
  <c r="AA287" i="1" s="1"/>
  <c r="AA318" i="1" s="1"/>
  <c r="AA228" i="1"/>
  <c r="AA258" i="1" s="1"/>
  <c r="AA288" i="1" s="1"/>
  <c r="AA319" i="1" s="1"/>
  <c r="AA229" i="1"/>
  <c r="AA259" i="1" s="1"/>
  <c r="P129" i="7"/>
  <c r="D307" i="7" l="1"/>
  <c r="D308" i="7" s="1"/>
  <c r="D309" i="7" s="1"/>
  <c r="D310" i="7" s="1"/>
  <c r="D311" i="7" s="1"/>
  <c r="D312" i="7" s="1"/>
  <c r="D313" i="7" s="1"/>
  <c r="C307" i="7"/>
  <c r="C308" i="7" s="1"/>
  <c r="C309" i="7" s="1"/>
  <c r="C310" i="7" s="1"/>
  <c r="C311" i="7" s="1"/>
  <c r="C312" i="7" s="1"/>
  <c r="C313" i="7" s="1"/>
  <c r="AB346" i="7"/>
  <c r="AB388" i="7" s="1"/>
  <c r="AA290" i="1"/>
  <c r="AA321" i="1" s="1"/>
  <c r="AB298" i="7"/>
  <c r="AB339" i="7" s="1"/>
  <c r="AB381" i="7" s="1"/>
  <c r="AB297" i="7"/>
  <c r="AB338" i="7" s="1"/>
  <c r="AB380" i="7" s="1"/>
  <c r="AB313" i="7"/>
  <c r="AB355" i="7" s="1"/>
  <c r="AB398" i="7" s="1"/>
  <c r="AB312" i="7"/>
  <c r="AB354" i="7" s="1"/>
  <c r="AB397" i="7" s="1"/>
  <c r="AB311" i="7"/>
  <c r="AB353" i="7" s="1"/>
  <c r="AB396" i="7" s="1"/>
  <c r="C243" i="1"/>
  <c r="C244" i="1" s="1"/>
  <c r="C245" i="1" s="1"/>
  <c r="C246" i="1" s="1"/>
  <c r="C247" i="1" s="1"/>
  <c r="C248" i="1" s="1"/>
  <c r="D243" i="1"/>
  <c r="D244" i="1" s="1"/>
  <c r="D245" i="1" s="1"/>
  <c r="D246" i="1" s="1"/>
  <c r="D247" i="1" s="1"/>
  <c r="D248" i="1" s="1"/>
  <c r="AA115" i="1"/>
  <c r="AA116" i="1"/>
  <c r="AA117" i="1"/>
  <c r="AA118" i="1"/>
  <c r="AA119" i="1"/>
  <c r="AA120" i="1"/>
  <c r="AA121" i="1"/>
  <c r="AA122" i="1"/>
  <c r="AA123" i="1"/>
  <c r="AA124" i="1"/>
  <c r="AA125" i="1"/>
  <c r="C249" i="1" l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D249" i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U99" i="7"/>
  <c r="W99" i="7"/>
  <c r="U90" i="7"/>
  <c r="W90" i="7"/>
  <c r="U251" i="7" l="1"/>
  <c r="W251" i="7"/>
  <c r="U252" i="7"/>
  <c r="W252" i="7"/>
  <c r="U253" i="7"/>
  <c r="W253" i="7"/>
  <c r="U254" i="7"/>
  <c r="W254" i="7"/>
  <c r="U255" i="7"/>
  <c r="W255" i="7"/>
  <c r="U256" i="7"/>
  <c r="W256" i="7"/>
  <c r="U257" i="7"/>
  <c r="W257" i="7"/>
  <c r="U258" i="7"/>
  <c r="W258" i="7"/>
  <c r="U259" i="7"/>
  <c r="W259" i="7"/>
  <c r="U260" i="7"/>
  <c r="W260" i="7"/>
  <c r="U261" i="7"/>
  <c r="W261" i="7"/>
  <c r="U262" i="7"/>
  <c r="W262" i="7"/>
  <c r="U263" i="7"/>
  <c r="W263" i="7"/>
  <c r="U264" i="7"/>
  <c r="W264" i="7"/>
  <c r="U268" i="7"/>
  <c r="W268" i="7"/>
  <c r="U269" i="7"/>
  <c r="W269" i="7"/>
  <c r="U270" i="7"/>
  <c r="W270" i="7"/>
  <c r="U271" i="7"/>
  <c r="W271" i="7"/>
  <c r="U272" i="7"/>
  <c r="W272" i="7"/>
  <c r="U273" i="7"/>
  <c r="W273" i="7"/>
  <c r="U246" i="7"/>
  <c r="W246" i="7"/>
  <c r="AB246" i="7"/>
  <c r="AB276" i="7" s="1"/>
  <c r="AB317" i="7" s="1"/>
  <c r="AB359" i="7" s="1"/>
  <c r="U247" i="7"/>
  <c r="W247" i="7"/>
  <c r="U248" i="7"/>
  <c r="W248" i="7"/>
  <c r="U249" i="7"/>
  <c r="W249" i="7"/>
  <c r="U250" i="7"/>
  <c r="W250" i="7"/>
  <c r="D246" i="7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C246" i="7"/>
  <c r="C247" i="7" s="1"/>
  <c r="C248" i="7" s="1"/>
  <c r="C249" i="7" s="1"/>
  <c r="C250" i="7" s="1"/>
  <c r="C251" i="7" s="1"/>
  <c r="C252" i="7" s="1"/>
  <c r="C253" i="7" s="1"/>
  <c r="C254" i="7" s="1"/>
  <c r="C255" i="7" s="1"/>
  <c r="C256" i="7" s="1"/>
  <c r="C257" i="7" s="1"/>
  <c r="C258" i="7" s="1"/>
  <c r="C259" i="7" s="1"/>
  <c r="C260" i="7" s="1"/>
  <c r="C261" i="7" s="1"/>
  <c r="C262" i="7" s="1"/>
  <c r="C263" i="7" s="1"/>
  <c r="C264" i="7" s="1"/>
  <c r="C265" i="7" s="1"/>
  <c r="C266" i="7" s="1"/>
  <c r="W227" i="7"/>
  <c r="U227" i="7"/>
  <c r="W226" i="7"/>
  <c r="U226" i="7"/>
  <c r="D205" i="7"/>
  <c r="C205" i="7"/>
  <c r="W213" i="7"/>
  <c r="U213" i="7"/>
  <c r="W212" i="7"/>
  <c r="U212" i="7"/>
  <c r="C175" i="7"/>
  <c r="C176" i="7" s="1"/>
  <c r="C177" i="7" s="1"/>
  <c r="C178" i="7" s="1"/>
  <c r="C179" i="7" s="1"/>
  <c r="C180" i="7" s="1"/>
  <c r="C181" i="7" s="1"/>
  <c r="C182" i="7" s="1"/>
  <c r="C183" i="7" s="1"/>
  <c r="C184" i="7" s="1"/>
  <c r="C185" i="7" s="1"/>
  <c r="C186" i="7" s="1"/>
  <c r="C187" i="7" s="1"/>
  <c r="C188" i="7" s="1"/>
  <c r="C189" i="7" s="1"/>
  <c r="C190" i="7" s="1"/>
  <c r="C191" i="7" s="1"/>
  <c r="C192" i="7" s="1"/>
  <c r="C193" i="7" s="1"/>
  <c r="W190" i="7"/>
  <c r="U190" i="7"/>
  <c r="W189" i="7"/>
  <c r="U189" i="7"/>
  <c r="W181" i="7"/>
  <c r="U181" i="7"/>
  <c r="W180" i="7"/>
  <c r="U180" i="7"/>
  <c r="W151" i="7"/>
  <c r="U151" i="7"/>
  <c r="W150" i="7"/>
  <c r="U150" i="7"/>
  <c r="W160" i="7"/>
  <c r="U160" i="7"/>
  <c r="W159" i="7"/>
  <c r="U159" i="7"/>
  <c r="C145" i="7"/>
  <c r="C146" i="7" s="1"/>
  <c r="C147" i="7" s="1"/>
  <c r="C148" i="7" s="1"/>
  <c r="C149" i="7" s="1"/>
  <c r="C150" i="7" s="1"/>
  <c r="C151" i="7" s="1"/>
  <c r="C152" i="7" s="1"/>
  <c r="C153" i="7" s="1"/>
  <c r="C154" i="7" s="1"/>
  <c r="C155" i="7" s="1"/>
  <c r="C156" i="7" s="1"/>
  <c r="C157" i="7" s="1"/>
  <c r="C158" i="7" s="1"/>
  <c r="C159" i="7" s="1"/>
  <c r="C160" i="7" s="1"/>
  <c r="C161" i="7" s="1"/>
  <c r="C162" i="7" s="1"/>
  <c r="W140" i="7"/>
  <c r="W139" i="7"/>
  <c r="U139" i="7"/>
  <c r="W138" i="7"/>
  <c r="W137" i="7"/>
  <c r="W136" i="7"/>
  <c r="W132" i="7"/>
  <c r="W131" i="7"/>
  <c r="W130" i="7"/>
  <c r="W129" i="7"/>
  <c r="W128" i="7"/>
  <c r="W127" i="7"/>
  <c r="W126" i="7"/>
  <c r="W125" i="7"/>
  <c r="W124" i="7"/>
  <c r="W123" i="7"/>
  <c r="W122" i="7"/>
  <c r="W121" i="7"/>
  <c r="W120" i="7"/>
  <c r="W119" i="7"/>
  <c r="W118" i="7"/>
  <c r="W117" i="7"/>
  <c r="W116" i="7"/>
  <c r="W115" i="7"/>
  <c r="W114" i="7"/>
  <c r="W113" i="7"/>
  <c r="O118" i="7"/>
  <c r="O250" i="7" s="1"/>
  <c r="O282" i="7" s="1"/>
  <c r="O323" i="7" s="1"/>
  <c r="O365" i="7" s="1"/>
  <c r="P118" i="7"/>
  <c r="P250" i="7" s="1"/>
  <c r="P282" i="7" s="1"/>
  <c r="P323" i="7" s="1"/>
  <c r="P365" i="7" s="1"/>
  <c r="Q118" i="7"/>
  <c r="Q250" i="7" s="1"/>
  <c r="Q282" i="7" s="1"/>
  <c r="Q323" i="7" s="1"/>
  <c r="Q365" i="7" s="1"/>
  <c r="R118" i="7"/>
  <c r="R250" i="7" s="1"/>
  <c r="R282" i="7" s="1"/>
  <c r="R323" i="7" s="1"/>
  <c r="R365" i="7" s="1"/>
  <c r="S118" i="7"/>
  <c r="S250" i="7" s="1"/>
  <c r="S282" i="7" s="1"/>
  <c r="S323" i="7" s="1"/>
  <c r="S365" i="7" s="1"/>
  <c r="T118" i="7"/>
  <c r="T250" i="7" s="1"/>
  <c r="T282" i="7" s="1"/>
  <c r="T323" i="7" s="1"/>
  <c r="T365" i="7" s="1"/>
  <c r="AB118" i="7"/>
  <c r="O119" i="7"/>
  <c r="O251" i="7" s="1"/>
  <c r="O283" i="7" s="1"/>
  <c r="O324" i="7" s="1"/>
  <c r="O366" i="7" s="1"/>
  <c r="P119" i="7"/>
  <c r="P251" i="7" s="1"/>
  <c r="P283" i="7" s="1"/>
  <c r="P324" i="7" s="1"/>
  <c r="P366" i="7" s="1"/>
  <c r="Q119" i="7"/>
  <c r="Q251" i="7" s="1"/>
  <c r="Q283" i="7" s="1"/>
  <c r="Q324" i="7" s="1"/>
  <c r="Q366" i="7" s="1"/>
  <c r="R119" i="7"/>
  <c r="R251" i="7" s="1"/>
  <c r="R283" i="7" s="1"/>
  <c r="R324" i="7" s="1"/>
  <c r="R366" i="7" s="1"/>
  <c r="S119" i="7"/>
  <c r="S251" i="7" s="1"/>
  <c r="S283" i="7" s="1"/>
  <c r="S324" i="7" s="1"/>
  <c r="S366" i="7" s="1"/>
  <c r="T119" i="7"/>
  <c r="T251" i="7" s="1"/>
  <c r="T283" i="7" s="1"/>
  <c r="T324" i="7" s="1"/>
  <c r="T366" i="7" s="1"/>
  <c r="AB119" i="7"/>
  <c r="O120" i="7"/>
  <c r="O252" i="7" s="1"/>
  <c r="O284" i="7" s="1"/>
  <c r="O325" i="7" s="1"/>
  <c r="O367" i="7" s="1"/>
  <c r="P120" i="7"/>
  <c r="P252" i="7" s="1"/>
  <c r="P284" i="7" s="1"/>
  <c r="P325" i="7" s="1"/>
  <c r="P367" i="7" s="1"/>
  <c r="Q120" i="7"/>
  <c r="Q252" i="7" s="1"/>
  <c r="Q284" i="7" s="1"/>
  <c r="Q325" i="7" s="1"/>
  <c r="Q367" i="7" s="1"/>
  <c r="R120" i="7"/>
  <c r="R252" i="7" s="1"/>
  <c r="R284" i="7" s="1"/>
  <c r="R325" i="7" s="1"/>
  <c r="R367" i="7" s="1"/>
  <c r="S120" i="7"/>
  <c r="S252" i="7" s="1"/>
  <c r="S284" i="7" s="1"/>
  <c r="S325" i="7" s="1"/>
  <c r="S367" i="7" s="1"/>
  <c r="T120" i="7"/>
  <c r="T252" i="7" s="1"/>
  <c r="T284" i="7" s="1"/>
  <c r="T325" i="7" s="1"/>
  <c r="T367" i="7" s="1"/>
  <c r="AB120" i="7"/>
  <c r="O121" i="7"/>
  <c r="O253" i="7" s="1"/>
  <c r="O288" i="7" s="1"/>
  <c r="O329" i="7" s="1"/>
  <c r="O371" i="7" s="1"/>
  <c r="P121" i="7"/>
  <c r="P253" i="7" s="1"/>
  <c r="P288" i="7" s="1"/>
  <c r="P329" i="7" s="1"/>
  <c r="P371" i="7" s="1"/>
  <c r="Q121" i="7"/>
  <c r="Q253" i="7" s="1"/>
  <c r="Q288" i="7" s="1"/>
  <c r="Q329" i="7" s="1"/>
  <c r="Q371" i="7" s="1"/>
  <c r="R121" i="7"/>
  <c r="R253" i="7" s="1"/>
  <c r="R288" i="7" s="1"/>
  <c r="R329" i="7" s="1"/>
  <c r="R371" i="7" s="1"/>
  <c r="S121" i="7"/>
  <c r="S253" i="7" s="1"/>
  <c r="S288" i="7" s="1"/>
  <c r="S329" i="7" s="1"/>
  <c r="S371" i="7" s="1"/>
  <c r="T121" i="7"/>
  <c r="T253" i="7" s="1"/>
  <c r="T288" i="7" s="1"/>
  <c r="T329" i="7" s="1"/>
  <c r="T371" i="7" s="1"/>
  <c r="AB121" i="7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06" i="1"/>
  <c r="D114" i="7"/>
  <c r="D115" i="7" s="1"/>
  <c r="D116" i="7" s="1"/>
  <c r="D117" i="7" s="1"/>
  <c r="D118" i="7" s="1"/>
  <c r="D119" i="7" s="1"/>
  <c r="D120" i="7" s="1"/>
  <c r="C114" i="7"/>
  <c r="C115" i="7" s="1"/>
  <c r="C116" i="7" s="1"/>
  <c r="C117" i="7" s="1"/>
  <c r="C118" i="7" s="1"/>
  <c r="C119" i="7" s="1"/>
  <c r="C120" i="7" s="1"/>
  <c r="O114" i="7"/>
  <c r="O246" i="7" s="1"/>
  <c r="O276" i="7" s="1"/>
  <c r="O317" i="7" s="1"/>
  <c r="O359" i="7" s="1"/>
  <c r="P114" i="7"/>
  <c r="P246" i="7" s="1"/>
  <c r="P276" i="7" s="1"/>
  <c r="P317" i="7" s="1"/>
  <c r="P359" i="7" s="1"/>
  <c r="Q114" i="7"/>
  <c r="Q246" i="7" s="1"/>
  <c r="Q276" i="7" s="1"/>
  <c r="Q317" i="7" s="1"/>
  <c r="Q359" i="7" s="1"/>
  <c r="R114" i="7"/>
  <c r="R246" i="7" s="1"/>
  <c r="R276" i="7" s="1"/>
  <c r="R317" i="7" s="1"/>
  <c r="R359" i="7" s="1"/>
  <c r="S114" i="7"/>
  <c r="S246" i="7" s="1"/>
  <c r="S276" i="7" s="1"/>
  <c r="S317" i="7" s="1"/>
  <c r="S359" i="7" s="1"/>
  <c r="T114" i="7"/>
  <c r="T246" i="7" s="1"/>
  <c r="T276" i="7" s="1"/>
  <c r="T317" i="7" s="1"/>
  <c r="T359" i="7" s="1"/>
  <c r="AB114" i="7"/>
  <c r="O115" i="7"/>
  <c r="O247" i="7" s="1"/>
  <c r="O279" i="7" s="1"/>
  <c r="O320" i="7" s="1"/>
  <c r="O362" i="7" s="1"/>
  <c r="P115" i="7"/>
  <c r="P247" i="7" s="1"/>
  <c r="P279" i="7" s="1"/>
  <c r="P320" i="7" s="1"/>
  <c r="P362" i="7" s="1"/>
  <c r="Q115" i="7"/>
  <c r="Q247" i="7" s="1"/>
  <c r="Q279" i="7" s="1"/>
  <c r="Q320" i="7" s="1"/>
  <c r="Q362" i="7" s="1"/>
  <c r="R115" i="7"/>
  <c r="R247" i="7" s="1"/>
  <c r="R279" i="7" s="1"/>
  <c r="R320" i="7" s="1"/>
  <c r="R362" i="7" s="1"/>
  <c r="S115" i="7"/>
  <c r="S247" i="7" s="1"/>
  <c r="S279" i="7" s="1"/>
  <c r="S320" i="7" s="1"/>
  <c r="S362" i="7" s="1"/>
  <c r="T115" i="7"/>
  <c r="T247" i="7" s="1"/>
  <c r="T279" i="7" s="1"/>
  <c r="T320" i="7" s="1"/>
  <c r="T362" i="7" s="1"/>
  <c r="AB115" i="7"/>
  <c r="O116" i="7"/>
  <c r="O248" i="7" s="1"/>
  <c r="O280" i="7" s="1"/>
  <c r="O321" i="7" s="1"/>
  <c r="O363" i="7" s="1"/>
  <c r="P116" i="7"/>
  <c r="P248" i="7" s="1"/>
  <c r="P280" i="7" s="1"/>
  <c r="P321" i="7" s="1"/>
  <c r="P363" i="7" s="1"/>
  <c r="Q116" i="7"/>
  <c r="Q248" i="7" s="1"/>
  <c r="Q280" i="7" s="1"/>
  <c r="Q321" i="7" s="1"/>
  <c r="Q363" i="7" s="1"/>
  <c r="R116" i="7"/>
  <c r="R248" i="7" s="1"/>
  <c r="R280" i="7" s="1"/>
  <c r="R321" i="7" s="1"/>
  <c r="R363" i="7" s="1"/>
  <c r="S116" i="7"/>
  <c r="S248" i="7" s="1"/>
  <c r="S280" i="7" s="1"/>
  <c r="S321" i="7" s="1"/>
  <c r="S363" i="7" s="1"/>
  <c r="T116" i="7"/>
  <c r="T248" i="7" s="1"/>
  <c r="T280" i="7" s="1"/>
  <c r="T321" i="7" s="1"/>
  <c r="T363" i="7" s="1"/>
  <c r="AB116" i="7"/>
  <c r="O117" i="7"/>
  <c r="O249" i="7" s="1"/>
  <c r="O281" i="7" s="1"/>
  <c r="O322" i="7" s="1"/>
  <c r="O364" i="7" s="1"/>
  <c r="P117" i="7"/>
  <c r="P249" i="7" s="1"/>
  <c r="P281" i="7" s="1"/>
  <c r="P322" i="7" s="1"/>
  <c r="P364" i="7" s="1"/>
  <c r="Q117" i="7"/>
  <c r="Q249" i="7" s="1"/>
  <c r="Q281" i="7" s="1"/>
  <c r="Q322" i="7" s="1"/>
  <c r="Q364" i="7" s="1"/>
  <c r="R117" i="7"/>
  <c r="R249" i="7" s="1"/>
  <c r="R281" i="7" s="1"/>
  <c r="R322" i="7" s="1"/>
  <c r="R364" i="7" s="1"/>
  <c r="S117" i="7"/>
  <c r="S249" i="7" s="1"/>
  <c r="S281" i="7" s="1"/>
  <c r="S322" i="7" s="1"/>
  <c r="S364" i="7" s="1"/>
  <c r="T117" i="7"/>
  <c r="T249" i="7" s="1"/>
  <c r="T281" i="7" s="1"/>
  <c r="T322" i="7" s="1"/>
  <c r="T364" i="7" s="1"/>
  <c r="AB117" i="7"/>
  <c r="O122" i="7"/>
  <c r="O254" i="7" s="1"/>
  <c r="O289" i="7" s="1"/>
  <c r="O330" i="7" s="1"/>
  <c r="O372" i="7" s="1"/>
  <c r="P122" i="7"/>
  <c r="P254" i="7" s="1"/>
  <c r="P289" i="7" s="1"/>
  <c r="P330" i="7" s="1"/>
  <c r="P372" i="7" s="1"/>
  <c r="Q122" i="7"/>
  <c r="Q254" i="7" s="1"/>
  <c r="Q289" i="7" s="1"/>
  <c r="Q330" i="7" s="1"/>
  <c r="Q372" i="7" s="1"/>
  <c r="R122" i="7"/>
  <c r="R254" i="7" s="1"/>
  <c r="R289" i="7" s="1"/>
  <c r="R330" i="7" s="1"/>
  <c r="S122" i="7"/>
  <c r="S254" i="7" s="1"/>
  <c r="S289" i="7" s="1"/>
  <c r="S330" i="7" s="1"/>
  <c r="S372" i="7" s="1"/>
  <c r="T122" i="7"/>
  <c r="T254" i="7" s="1"/>
  <c r="T289" i="7" s="1"/>
  <c r="T330" i="7" s="1"/>
  <c r="T372" i="7" s="1"/>
  <c r="AB122" i="7"/>
  <c r="O123" i="7"/>
  <c r="O255" i="7" s="1"/>
  <c r="O292" i="7" s="1"/>
  <c r="O333" i="7" s="1"/>
  <c r="O375" i="7" s="1"/>
  <c r="P123" i="7"/>
  <c r="P255" i="7" s="1"/>
  <c r="P292" i="7" s="1"/>
  <c r="P333" i="7" s="1"/>
  <c r="P375" i="7" s="1"/>
  <c r="Q123" i="7"/>
  <c r="Q255" i="7" s="1"/>
  <c r="Q292" i="7" s="1"/>
  <c r="Q333" i="7" s="1"/>
  <c r="Q375" i="7" s="1"/>
  <c r="R123" i="7"/>
  <c r="R255" i="7" s="1"/>
  <c r="R292" i="7" s="1"/>
  <c r="R333" i="7" s="1"/>
  <c r="S123" i="7"/>
  <c r="S255" i="7" s="1"/>
  <c r="S292" i="7" s="1"/>
  <c r="S333" i="7" s="1"/>
  <c r="S375" i="7" s="1"/>
  <c r="T123" i="7"/>
  <c r="T255" i="7" s="1"/>
  <c r="T292" i="7" s="1"/>
  <c r="T333" i="7" s="1"/>
  <c r="T375" i="7" s="1"/>
  <c r="AB123" i="7"/>
  <c r="O124" i="7"/>
  <c r="O256" i="7" s="1"/>
  <c r="O293" i="7" s="1"/>
  <c r="O334" i="7" s="1"/>
  <c r="O376" i="7" s="1"/>
  <c r="P124" i="7"/>
  <c r="P256" i="7" s="1"/>
  <c r="P293" i="7" s="1"/>
  <c r="P334" i="7" s="1"/>
  <c r="P376" i="7" s="1"/>
  <c r="Q124" i="7"/>
  <c r="Q256" i="7" s="1"/>
  <c r="Q293" i="7" s="1"/>
  <c r="Q334" i="7" s="1"/>
  <c r="Q376" i="7" s="1"/>
  <c r="R124" i="7"/>
  <c r="R256" i="7" s="1"/>
  <c r="R293" i="7" s="1"/>
  <c r="R334" i="7" s="1"/>
  <c r="S124" i="7"/>
  <c r="S256" i="7" s="1"/>
  <c r="S293" i="7" s="1"/>
  <c r="S334" i="7" s="1"/>
  <c r="S376" i="7" s="1"/>
  <c r="T124" i="7"/>
  <c r="T256" i="7" s="1"/>
  <c r="T293" i="7" s="1"/>
  <c r="T334" i="7" s="1"/>
  <c r="T376" i="7" s="1"/>
  <c r="AB124" i="7"/>
  <c r="O125" i="7"/>
  <c r="O257" i="7" s="1"/>
  <c r="O294" i="7" s="1"/>
  <c r="O335" i="7" s="1"/>
  <c r="O377" i="7" s="1"/>
  <c r="P125" i="7"/>
  <c r="P257" i="7" s="1"/>
  <c r="P294" i="7" s="1"/>
  <c r="P335" i="7" s="1"/>
  <c r="P377" i="7" s="1"/>
  <c r="Q125" i="7"/>
  <c r="Q257" i="7" s="1"/>
  <c r="Q294" i="7" s="1"/>
  <c r="Q335" i="7" s="1"/>
  <c r="Q377" i="7" s="1"/>
  <c r="R125" i="7"/>
  <c r="R257" i="7" s="1"/>
  <c r="R294" i="7" s="1"/>
  <c r="R335" i="7" s="1"/>
  <c r="R377" i="7" s="1"/>
  <c r="S125" i="7"/>
  <c r="S257" i="7" s="1"/>
  <c r="S294" i="7" s="1"/>
  <c r="S335" i="7" s="1"/>
  <c r="S377" i="7" s="1"/>
  <c r="T125" i="7"/>
  <c r="T257" i="7" s="1"/>
  <c r="T294" i="7" s="1"/>
  <c r="T335" i="7" s="1"/>
  <c r="T377" i="7" s="1"/>
  <c r="AB125" i="7"/>
  <c r="O126" i="7"/>
  <c r="O258" i="7" s="1"/>
  <c r="O295" i="7" s="1"/>
  <c r="O336" i="7" s="1"/>
  <c r="O378" i="7" s="1"/>
  <c r="P126" i="7"/>
  <c r="P258" i="7" s="1"/>
  <c r="P295" i="7" s="1"/>
  <c r="P336" i="7" s="1"/>
  <c r="P378" i="7" s="1"/>
  <c r="Q126" i="7"/>
  <c r="Q258" i="7" s="1"/>
  <c r="Q295" i="7" s="1"/>
  <c r="Q336" i="7" s="1"/>
  <c r="Q378" i="7" s="1"/>
  <c r="R126" i="7"/>
  <c r="R258" i="7" s="1"/>
  <c r="R295" i="7" s="1"/>
  <c r="R336" i="7" s="1"/>
  <c r="S126" i="7"/>
  <c r="S258" i="7" s="1"/>
  <c r="S295" i="7" s="1"/>
  <c r="S336" i="7" s="1"/>
  <c r="S378" i="7" s="1"/>
  <c r="T126" i="7"/>
  <c r="T258" i="7" s="1"/>
  <c r="T295" i="7" s="1"/>
  <c r="T336" i="7" s="1"/>
  <c r="T378" i="7" s="1"/>
  <c r="AB126" i="7"/>
  <c r="O127" i="7"/>
  <c r="O259" i="7" s="1"/>
  <c r="O296" i="7" s="1"/>
  <c r="O337" i="7" s="1"/>
  <c r="O379" i="7" s="1"/>
  <c r="P127" i="7"/>
  <c r="P259" i="7" s="1"/>
  <c r="P296" i="7" s="1"/>
  <c r="P337" i="7" s="1"/>
  <c r="P379" i="7" s="1"/>
  <c r="Q127" i="7"/>
  <c r="Q259" i="7" s="1"/>
  <c r="Q296" i="7" s="1"/>
  <c r="Q337" i="7" s="1"/>
  <c r="Q379" i="7" s="1"/>
  <c r="R127" i="7"/>
  <c r="R259" i="7" s="1"/>
  <c r="R296" i="7" s="1"/>
  <c r="R337" i="7" s="1"/>
  <c r="S127" i="7"/>
  <c r="S259" i="7" s="1"/>
  <c r="S296" i="7" s="1"/>
  <c r="S337" i="7" s="1"/>
  <c r="T127" i="7"/>
  <c r="T259" i="7" s="1"/>
  <c r="T296" i="7" s="1"/>
  <c r="T337" i="7" s="1"/>
  <c r="T379" i="7" s="1"/>
  <c r="AB127" i="7"/>
  <c r="O128" i="7"/>
  <c r="O260" i="7" s="1"/>
  <c r="O297" i="7" s="1"/>
  <c r="O338" i="7" s="1"/>
  <c r="O380" i="7" s="1"/>
  <c r="P128" i="7"/>
  <c r="P260" i="7" s="1"/>
  <c r="P297" i="7" s="1"/>
  <c r="P338" i="7" s="1"/>
  <c r="P380" i="7" s="1"/>
  <c r="Q128" i="7"/>
  <c r="Q260" i="7" s="1"/>
  <c r="Q297" i="7" s="1"/>
  <c r="Q338" i="7" s="1"/>
  <c r="Q380" i="7" s="1"/>
  <c r="R128" i="7"/>
  <c r="R260" i="7" s="1"/>
  <c r="R297" i="7" s="1"/>
  <c r="R338" i="7" s="1"/>
  <c r="S128" i="7"/>
  <c r="S260" i="7" s="1"/>
  <c r="S297" i="7" s="1"/>
  <c r="S338" i="7" s="1"/>
  <c r="T128" i="7"/>
  <c r="T260" i="7" s="1"/>
  <c r="T297" i="7" s="1"/>
  <c r="T338" i="7" s="1"/>
  <c r="T380" i="7" s="1"/>
  <c r="AB128" i="7"/>
  <c r="O129" i="7"/>
  <c r="O261" i="7" s="1"/>
  <c r="O298" i="7" s="1"/>
  <c r="O339" i="7" s="1"/>
  <c r="O381" i="7" s="1"/>
  <c r="P261" i="7"/>
  <c r="P298" i="7" s="1"/>
  <c r="P339" i="7" s="1"/>
  <c r="P381" i="7" s="1"/>
  <c r="Q129" i="7"/>
  <c r="Q261" i="7" s="1"/>
  <c r="Q298" i="7" s="1"/>
  <c r="Q339" i="7" s="1"/>
  <c r="Q381" i="7" s="1"/>
  <c r="R129" i="7"/>
  <c r="R261" i="7" s="1"/>
  <c r="R298" i="7" s="1"/>
  <c r="R339" i="7" s="1"/>
  <c r="S129" i="7"/>
  <c r="S261" i="7" s="1"/>
  <c r="S298" i="7" s="1"/>
  <c r="S339" i="7" s="1"/>
  <c r="T129" i="7"/>
  <c r="T261" i="7" s="1"/>
  <c r="T298" i="7" s="1"/>
  <c r="T339" i="7" s="1"/>
  <c r="T381" i="7" s="1"/>
  <c r="AB129" i="7"/>
  <c r="O130" i="7"/>
  <c r="O262" i="7" s="1"/>
  <c r="O302" i="7" s="1"/>
  <c r="O343" i="7" s="1"/>
  <c r="O385" i="7" s="1"/>
  <c r="P130" i="7"/>
  <c r="P262" i="7" s="1"/>
  <c r="P302" i="7" s="1"/>
  <c r="P343" i="7" s="1"/>
  <c r="P385" i="7" s="1"/>
  <c r="Q130" i="7"/>
  <c r="Q262" i="7" s="1"/>
  <c r="Q302" i="7" s="1"/>
  <c r="Q343" i="7" s="1"/>
  <c r="Q385" i="7" s="1"/>
  <c r="R130" i="7"/>
  <c r="R262" i="7" s="1"/>
  <c r="R302" i="7" s="1"/>
  <c r="R343" i="7" s="1"/>
  <c r="R385" i="7" s="1"/>
  <c r="S130" i="7"/>
  <c r="S262" i="7" s="1"/>
  <c r="S302" i="7" s="1"/>
  <c r="S343" i="7" s="1"/>
  <c r="S385" i="7" s="1"/>
  <c r="T130" i="7"/>
  <c r="T262" i="7" s="1"/>
  <c r="T302" i="7" s="1"/>
  <c r="T343" i="7" s="1"/>
  <c r="T385" i="7" s="1"/>
  <c r="AB130" i="7"/>
  <c r="O131" i="7"/>
  <c r="O263" i="7" s="1"/>
  <c r="O303" i="7" s="1"/>
  <c r="O344" i="7" s="1"/>
  <c r="O386" i="7" s="1"/>
  <c r="P131" i="7"/>
  <c r="P263" i="7" s="1"/>
  <c r="P303" i="7" s="1"/>
  <c r="P344" i="7" s="1"/>
  <c r="P386" i="7" s="1"/>
  <c r="Q131" i="7"/>
  <c r="Q263" i="7" s="1"/>
  <c r="Q303" i="7" s="1"/>
  <c r="Q344" i="7" s="1"/>
  <c r="Q386" i="7" s="1"/>
  <c r="R131" i="7"/>
  <c r="R263" i="7" s="1"/>
  <c r="R303" i="7" s="1"/>
  <c r="R344" i="7" s="1"/>
  <c r="R386" i="7" s="1"/>
  <c r="S131" i="7"/>
  <c r="S263" i="7" s="1"/>
  <c r="S303" i="7" s="1"/>
  <c r="S386" i="7" s="1"/>
  <c r="T131" i="7"/>
  <c r="T263" i="7" s="1"/>
  <c r="T303" i="7" s="1"/>
  <c r="T344" i="7" s="1"/>
  <c r="T386" i="7" s="1"/>
  <c r="AB131" i="7"/>
  <c r="O132" i="7"/>
  <c r="O264" i="7" s="1"/>
  <c r="O304" i="7" s="1"/>
  <c r="P132" i="7"/>
  <c r="P264" i="7" s="1"/>
  <c r="P304" i="7" s="1"/>
  <c r="Q132" i="7"/>
  <c r="Q264" i="7" s="1"/>
  <c r="Q304" i="7" s="1"/>
  <c r="R132" i="7"/>
  <c r="R264" i="7" s="1"/>
  <c r="R304" i="7" s="1"/>
  <c r="S132" i="7"/>
  <c r="S264" i="7" s="1"/>
  <c r="S304" i="7" s="1"/>
  <c r="T132" i="7"/>
  <c r="T264" i="7" s="1"/>
  <c r="T304" i="7" s="1"/>
  <c r="AB132" i="7"/>
  <c r="O136" i="7"/>
  <c r="O268" i="7" s="1"/>
  <c r="O308" i="7" s="1"/>
  <c r="O350" i="7" s="1"/>
  <c r="O393" i="7" s="1"/>
  <c r="P136" i="7"/>
  <c r="P268" i="7" s="1"/>
  <c r="P308" i="7" s="1"/>
  <c r="P350" i="7" s="1"/>
  <c r="P393" i="7" s="1"/>
  <c r="Q136" i="7"/>
  <c r="Q268" i="7" s="1"/>
  <c r="Q308" i="7" s="1"/>
  <c r="Q350" i="7" s="1"/>
  <c r="Q393" i="7" s="1"/>
  <c r="R136" i="7"/>
  <c r="R268" i="7" s="1"/>
  <c r="R308" i="7" s="1"/>
  <c r="R350" i="7" s="1"/>
  <c r="R393" i="7" s="1"/>
  <c r="S136" i="7"/>
  <c r="S268" i="7" s="1"/>
  <c r="S308" i="7" s="1"/>
  <c r="S350" i="7" s="1"/>
  <c r="S393" i="7" s="1"/>
  <c r="T136" i="7"/>
  <c r="T268" i="7" s="1"/>
  <c r="T308" i="7" s="1"/>
  <c r="T350" i="7" s="1"/>
  <c r="T393" i="7" s="1"/>
  <c r="AB136" i="7"/>
  <c r="O137" i="7"/>
  <c r="O269" i="7" s="1"/>
  <c r="O309" i="7" s="1"/>
  <c r="O351" i="7" s="1"/>
  <c r="O394" i="7" s="1"/>
  <c r="P137" i="7"/>
  <c r="P269" i="7" s="1"/>
  <c r="P309" i="7" s="1"/>
  <c r="P351" i="7" s="1"/>
  <c r="P394" i="7" s="1"/>
  <c r="Q137" i="7"/>
  <c r="Q269" i="7" s="1"/>
  <c r="Q309" i="7" s="1"/>
  <c r="Q351" i="7" s="1"/>
  <c r="Q394" i="7" s="1"/>
  <c r="R137" i="7"/>
  <c r="R269" i="7" s="1"/>
  <c r="R309" i="7" s="1"/>
  <c r="R351" i="7" s="1"/>
  <c r="R394" i="7" s="1"/>
  <c r="S137" i="7"/>
  <c r="S269" i="7" s="1"/>
  <c r="S309" i="7" s="1"/>
  <c r="S351" i="7" s="1"/>
  <c r="S394" i="7" s="1"/>
  <c r="T137" i="7"/>
  <c r="T269" i="7" s="1"/>
  <c r="T309" i="7" s="1"/>
  <c r="T351" i="7" s="1"/>
  <c r="T394" i="7" s="1"/>
  <c r="AB137" i="7"/>
  <c r="O138" i="7"/>
  <c r="O270" i="7" s="1"/>
  <c r="O310" i="7" s="1"/>
  <c r="O352" i="7" s="1"/>
  <c r="O395" i="7" s="1"/>
  <c r="P138" i="7"/>
  <c r="P270" i="7" s="1"/>
  <c r="P310" i="7" s="1"/>
  <c r="P352" i="7" s="1"/>
  <c r="P395" i="7" s="1"/>
  <c r="Q138" i="7"/>
  <c r="Q270" i="7" s="1"/>
  <c r="Q310" i="7" s="1"/>
  <c r="Q352" i="7" s="1"/>
  <c r="Q395" i="7" s="1"/>
  <c r="R138" i="7"/>
  <c r="R270" i="7" s="1"/>
  <c r="R310" i="7" s="1"/>
  <c r="R352" i="7" s="1"/>
  <c r="R395" i="7" s="1"/>
  <c r="S138" i="7"/>
  <c r="S270" i="7" s="1"/>
  <c r="S310" i="7" s="1"/>
  <c r="S352" i="7" s="1"/>
  <c r="S395" i="7" s="1"/>
  <c r="T138" i="7"/>
  <c r="T270" i="7" s="1"/>
  <c r="T310" i="7" s="1"/>
  <c r="T352" i="7" s="1"/>
  <c r="T395" i="7" s="1"/>
  <c r="AB138" i="7"/>
  <c r="O139" i="7"/>
  <c r="O271" i="7" s="1"/>
  <c r="O311" i="7" s="1"/>
  <c r="O353" i="7" s="1"/>
  <c r="O396" i="7" s="1"/>
  <c r="P139" i="7"/>
  <c r="P271" i="7" s="1"/>
  <c r="P311" i="7" s="1"/>
  <c r="P353" i="7" s="1"/>
  <c r="P396" i="7" s="1"/>
  <c r="Q139" i="7"/>
  <c r="Q271" i="7" s="1"/>
  <c r="Q311" i="7" s="1"/>
  <c r="Q353" i="7" s="1"/>
  <c r="Q396" i="7" s="1"/>
  <c r="R139" i="7"/>
  <c r="R271" i="7" s="1"/>
  <c r="R311" i="7" s="1"/>
  <c r="R353" i="7" s="1"/>
  <c r="R396" i="7" s="1"/>
  <c r="S139" i="7"/>
  <c r="S271" i="7" s="1"/>
  <c r="S311" i="7" s="1"/>
  <c r="S353" i="7" s="1"/>
  <c r="S396" i="7" s="1"/>
  <c r="T139" i="7"/>
  <c r="T271" i="7" s="1"/>
  <c r="T311" i="7" s="1"/>
  <c r="T353" i="7" s="1"/>
  <c r="T396" i="7" s="1"/>
  <c r="AB139" i="7"/>
  <c r="O140" i="7"/>
  <c r="O272" i="7" s="1"/>
  <c r="O312" i="7" s="1"/>
  <c r="O354" i="7" s="1"/>
  <c r="O397" i="7" s="1"/>
  <c r="P140" i="7"/>
  <c r="P272" i="7" s="1"/>
  <c r="P312" i="7" s="1"/>
  <c r="P354" i="7" s="1"/>
  <c r="P397" i="7" s="1"/>
  <c r="Q140" i="7"/>
  <c r="Q272" i="7" s="1"/>
  <c r="Q312" i="7" s="1"/>
  <c r="Q354" i="7" s="1"/>
  <c r="Q397" i="7" s="1"/>
  <c r="R140" i="7"/>
  <c r="R272" i="7" s="1"/>
  <c r="R312" i="7" s="1"/>
  <c r="R354" i="7" s="1"/>
  <c r="R397" i="7" s="1"/>
  <c r="S140" i="7"/>
  <c r="S272" i="7" s="1"/>
  <c r="S312" i="7" s="1"/>
  <c r="S354" i="7" s="1"/>
  <c r="S397" i="7" s="1"/>
  <c r="T140" i="7"/>
  <c r="T272" i="7" s="1"/>
  <c r="T312" i="7" s="1"/>
  <c r="T354" i="7" s="1"/>
  <c r="T397" i="7" s="1"/>
  <c r="AB140" i="7"/>
  <c r="O141" i="7"/>
  <c r="O273" i="7" s="1"/>
  <c r="O313" i="7" s="1"/>
  <c r="O355" i="7" s="1"/>
  <c r="O398" i="7" s="1"/>
  <c r="P141" i="7"/>
  <c r="P273" i="7" s="1"/>
  <c r="P313" i="7" s="1"/>
  <c r="P355" i="7" s="1"/>
  <c r="P398" i="7" s="1"/>
  <c r="Q141" i="7"/>
  <c r="Q273" i="7" s="1"/>
  <c r="Q313" i="7" s="1"/>
  <c r="Q355" i="7" s="1"/>
  <c r="Q398" i="7" s="1"/>
  <c r="R141" i="7"/>
  <c r="R273" i="7" s="1"/>
  <c r="R313" i="7" s="1"/>
  <c r="R355" i="7" s="1"/>
  <c r="R398" i="7" s="1"/>
  <c r="S141" i="7"/>
  <c r="S273" i="7" s="1"/>
  <c r="S313" i="7" s="1"/>
  <c r="S355" i="7" s="1"/>
  <c r="S398" i="7" s="1"/>
  <c r="T141" i="7"/>
  <c r="T273" i="7" s="1"/>
  <c r="T313" i="7" s="1"/>
  <c r="T355" i="7" s="1"/>
  <c r="T398" i="7" s="1"/>
  <c r="AB141" i="7"/>
  <c r="U129" i="7"/>
  <c r="W98" i="7"/>
  <c r="U98" i="7"/>
  <c r="U128" i="7" s="1"/>
  <c r="C84" i="7"/>
  <c r="C85" i="7" s="1"/>
  <c r="C86" i="7" s="1"/>
  <c r="C87" i="7" s="1"/>
  <c r="C88" i="7" s="1"/>
  <c r="C89" i="7" s="1"/>
  <c r="U120" i="7"/>
  <c r="W89" i="7"/>
  <c r="U89" i="7"/>
  <c r="U119" i="7" s="1"/>
  <c r="U215" i="1"/>
  <c r="V215" i="1"/>
  <c r="AA215" i="1"/>
  <c r="AA240" i="1" s="1"/>
  <c r="AA270" i="1" s="1"/>
  <c r="AA301" i="1" s="1"/>
  <c r="U216" i="1"/>
  <c r="V216" i="1"/>
  <c r="AA216" i="1"/>
  <c r="AA241" i="1" s="1"/>
  <c r="AA271" i="1" s="1"/>
  <c r="AA302" i="1" s="1"/>
  <c r="U217" i="1"/>
  <c r="V217" i="1"/>
  <c r="AA217" i="1"/>
  <c r="AA242" i="1" s="1"/>
  <c r="AA272" i="1" s="1"/>
  <c r="AA303" i="1" s="1"/>
  <c r="U218" i="1"/>
  <c r="V218" i="1"/>
  <c r="AA218" i="1"/>
  <c r="AA245" i="1" s="1"/>
  <c r="AA275" i="1" s="1"/>
  <c r="AA306" i="1" s="1"/>
  <c r="U219" i="1"/>
  <c r="V219" i="1"/>
  <c r="V186" i="1"/>
  <c r="U186" i="1"/>
  <c r="V161" i="1"/>
  <c r="U161" i="1"/>
  <c r="V137" i="1"/>
  <c r="U137" i="1"/>
  <c r="AA112" i="1"/>
  <c r="K112" i="1"/>
  <c r="K216" i="1" s="1"/>
  <c r="K241" i="1" s="1"/>
  <c r="K271" i="1" s="1"/>
  <c r="K302" i="1" s="1"/>
  <c r="L112" i="1"/>
  <c r="L216" i="1" s="1"/>
  <c r="L241" i="1" s="1"/>
  <c r="L271" i="1" s="1"/>
  <c r="L302" i="1" s="1"/>
  <c r="M112" i="1"/>
  <c r="M216" i="1" s="1"/>
  <c r="M241" i="1" s="1"/>
  <c r="M271" i="1" s="1"/>
  <c r="M302" i="1" s="1"/>
  <c r="N112" i="1"/>
  <c r="N216" i="1" s="1"/>
  <c r="N241" i="1" s="1"/>
  <c r="N271" i="1" s="1"/>
  <c r="N302" i="1" s="1"/>
  <c r="O112" i="1"/>
  <c r="O216" i="1" s="1"/>
  <c r="O241" i="1" s="1"/>
  <c r="O271" i="1" s="1"/>
  <c r="O302" i="1" s="1"/>
  <c r="P112" i="1"/>
  <c r="P216" i="1" s="1"/>
  <c r="P241" i="1" s="1"/>
  <c r="P271" i="1" s="1"/>
  <c r="P302" i="1" s="1"/>
  <c r="Q112" i="1"/>
  <c r="Q216" i="1" s="1"/>
  <c r="Q241" i="1" s="1"/>
  <c r="Q271" i="1" s="1"/>
  <c r="Q302" i="1" s="1"/>
  <c r="R112" i="1"/>
  <c r="R216" i="1" s="1"/>
  <c r="R241" i="1" s="1"/>
  <c r="R271" i="1" s="1"/>
  <c r="R302" i="1" s="1"/>
  <c r="S112" i="1"/>
  <c r="S216" i="1" s="1"/>
  <c r="S241" i="1" s="1"/>
  <c r="S271" i="1" s="1"/>
  <c r="S302" i="1" s="1"/>
  <c r="T112" i="1"/>
  <c r="T216" i="1" s="1"/>
  <c r="T241" i="1" s="1"/>
  <c r="T271" i="1" s="1"/>
  <c r="T302" i="1" s="1"/>
  <c r="U112" i="1"/>
  <c r="V112" i="1"/>
  <c r="K113" i="1"/>
  <c r="K217" i="1" s="1"/>
  <c r="K242" i="1" s="1"/>
  <c r="K272" i="1" s="1"/>
  <c r="K303" i="1" s="1"/>
  <c r="L113" i="1"/>
  <c r="L217" i="1" s="1"/>
  <c r="L242" i="1" s="1"/>
  <c r="L272" i="1" s="1"/>
  <c r="L303" i="1" s="1"/>
  <c r="M113" i="1"/>
  <c r="M217" i="1" s="1"/>
  <c r="M242" i="1" s="1"/>
  <c r="M272" i="1" s="1"/>
  <c r="M303" i="1" s="1"/>
  <c r="N113" i="1"/>
  <c r="N217" i="1" s="1"/>
  <c r="N242" i="1" s="1"/>
  <c r="N272" i="1" s="1"/>
  <c r="N303" i="1" s="1"/>
  <c r="O113" i="1"/>
  <c r="O217" i="1" s="1"/>
  <c r="O242" i="1" s="1"/>
  <c r="O272" i="1" s="1"/>
  <c r="O303" i="1" s="1"/>
  <c r="P113" i="1"/>
  <c r="P217" i="1" s="1"/>
  <c r="P242" i="1" s="1"/>
  <c r="P272" i="1" s="1"/>
  <c r="P303" i="1" s="1"/>
  <c r="Q113" i="1"/>
  <c r="Q217" i="1" s="1"/>
  <c r="Q242" i="1" s="1"/>
  <c r="Q272" i="1" s="1"/>
  <c r="Q303" i="1" s="1"/>
  <c r="R113" i="1"/>
  <c r="R217" i="1" s="1"/>
  <c r="R242" i="1" s="1"/>
  <c r="R272" i="1" s="1"/>
  <c r="R303" i="1" s="1"/>
  <c r="S113" i="1"/>
  <c r="S217" i="1" s="1"/>
  <c r="S242" i="1" s="1"/>
  <c r="T113" i="1"/>
  <c r="T217" i="1" s="1"/>
  <c r="U113" i="1"/>
  <c r="V113" i="1"/>
  <c r="V88" i="1"/>
  <c r="U88" i="1"/>
  <c r="V125" i="1"/>
  <c r="U125" i="1"/>
  <c r="T125" i="1"/>
  <c r="T229" i="1" s="1"/>
  <c r="T259" i="1" s="1"/>
  <c r="S125" i="1"/>
  <c r="S229" i="1" s="1"/>
  <c r="S259" i="1" s="1"/>
  <c r="R125" i="1"/>
  <c r="R229" i="1" s="1"/>
  <c r="R259" i="1" s="1"/>
  <c r="Q125" i="1"/>
  <c r="Q229" i="1" s="1"/>
  <c r="Q259" i="1" s="1"/>
  <c r="P125" i="1"/>
  <c r="P229" i="1" s="1"/>
  <c r="P259" i="1" s="1"/>
  <c r="O125" i="1"/>
  <c r="O229" i="1" s="1"/>
  <c r="O259" i="1" s="1"/>
  <c r="N125" i="1"/>
  <c r="N229" i="1" s="1"/>
  <c r="N259" i="1" s="1"/>
  <c r="M125" i="1"/>
  <c r="M229" i="1" s="1"/>
  <c r="M259" i="1" s="1"/>
  <c r="L125" i="1"/>
  <c r="L229" i="1" s="1"/>
  <c r="L259" i="1" s="1"/>
  <c r="K125" i="1"/>
  <c r="K229" i="1" s="1"/>
  <c r="K259" i="1" s="1"/>
  <c r="V124" i="1"/>
  <c r="U124" i="1"/>
  <c r="T124" i="1"/>
  <c r="T228" i="1" s="1"/>
  <c r="T258" i="1" s="1"/>
  <c r="T288" i="1" s="1"/>
  <c r="T319" i="1" s="1"/>
  <c r="S124" i="1"/>
  <c r="S228" i="1" s="1"/>
  <c r="S258" i="1" s="1"/>
  <c r="S288" i="1" s="1"/>
  <c r="S319" i="1" s="1"/>
  <c r="R124" i="1"/>
  <c r="R228" i="1" s="1"/>
  <c r="R258" i="1" s="1"/>
  <c r="R288" i="1" s="1"/>
  <c r="R319" i="1" s="1"/>
  <c r="Q124" i="1"/>
  <c r="Q228" i="1" s="1"/>
  <c r="Q258" i="1" s="1"/>
  <c r="Q288" i="1" s="1"/>
  <c r="Q319" i="1" s="1"/>
  <c r="P124" i="1"/>
  <c r="P228" i="1" s="1"/>
  <c r="P258" i="1" s="1"/>
  <c r="P288" i="1" s="1"/>
  <c r="P319" i="1" s="1"/>
  <c r="O124" i="1"/>
  <c r="O228" i="1" s="1"/>
  <c r="O258" i="1" s="1"/>
  <c r="O288" i="1" s="1"/>
  <c r="O319" i="1" s="1"/>
  <c r="N124" i="1"/>
  <c r="N228" i="1" s="1"/>
  <c r="N258" i="1" s="1"/>
  <c r="N288" i="1" s="1"/>
  <c r="N319" i="1" s="1"/>
  <c r="M124" i="1"/>
  <c r="M228" i="1" s="1"/>
  <c r="M258" i="1" s="1"/>
  <c r="M288" i="1" s="1"/>
  <c r="M319" i="1" s="1"/>
  <c r="L124" i="1"/>
  <c r="L228" i="1" s="1"/>
  <c r="L258" i="1" s="1"/>
  <c r="K124" i="1"/>
  <c r="K228" i="1" s="1"/>
  <c r="K258" i="1" s="1"/>
  <c r="K288" i="1" s="1"/>
  <c r="K319" i="1" s="1"/>
  <c r="V123" i="1"/>
  <c r="U123" i="1"/>
  <c r="T123" i="1"/>
  <c r="T227" i="1" s="1"/>
  <c r="T257" i="1" s="1"/>
  <c r="T287" i="1" s="1"/>
  <c r="T318" i="1" s="1"/>
  <c r="S123" i="1"/>
  <c r="S227" i="1" s="1"/>
  <c r="S257" i="1" s="1"/>
  <c r="S287" i="1" s="1"/>
  <c r="S318" i="1" s="1"/>
  <c r="R123" i="1"/>
  <c r="R227" i="1" s="1"/>
  <c r="R257" i="1" s="1"/>
  <c r="R287" i="1" s="1"/>
  <c r="R318" i="1" s="1"/>
  <c r="Q123" i="1"/>
  <c r="Q227" i="1" s="1"/>
  <c r="Q257" i="1" s="1"/>
  <c r="Q287" i="1" s="1"/>
  <c r="Q318" i="1" s="1"/>
  <c r="P123" i="1"/>
  <c r="P227" i="1" s="1"/>
  <c r="P257" i="1" s="1"/>
  <c r="P287" i="1" s="1"/>
  <c r="P318" i="1" s="1"/>
  <c r="O123" i="1"/>
  <c r="O227" i="1" s="1"/>
  <c r="O257" i="1" s="1"/>
  <c r="O287" i="1" s="1"/>
  <c r="O318" i="1" s="1"/>
  <c r="N123" i="1"/>
  <c r="N227" i="1" s="1"/>
  <c r="N257" i="1" s="1"/>
  <c r="N287" i="1" s="1"/>
  <c r="N318" i="1" s="1"/>
  <c r="M123" i="1"/>
  <c r="M227" i="1" s="1"/>
  <c r="M257" i="1" s="1"/>
  <c r="M287" i="1" s="1"/>
  <c r="M318" i="1" s="1"/>
  <c r="L123" i="1"/>
  <c r="L227" i="1" s="1"/>
  <c r="L257" i="1" s="1"/>
  <c r="L287" i="1" s="1"/>
  <c r="L318" i="1" s="1"/>
  <c r="K123" i="1"/>
  <c r="K227" i="1" s="1"/>
  <c r="K257" i="1" s="1"/>
  <c r="K287" i="1" s="1"/>
  <c r="K318" i="1" s="1"/>
  <c r="V122" i="1"/>
  <c r="U122" i="1"/>
  <c r="T122" i="1"/>
  <c r="T226" i="1" s="1"/>
  <c r="T256" i="1" s="1"/>
  <c r="T286" i="1" s="1"/>
  <c r="T317" i="1" s="1"/>
  <c r="S122" i="1"/>
  <c r="S226" i="1" s="1"/>
  <c r="S256" i="1" s="1"/>
  <c r="S286" i="1" s="1"/>
  <c r="S317" i="1" s="1"/>
  <c r="R122" i="1"/>
  <c r="R226" i="1" s="1"/>
  <c r="R256" i="1" s="1"/>
  <c r="R286" i="1" s="1"/>
  <c r="R317" i="1" s="1"/>
  <c r="Q122" i="1"/>
  <c r="Q226" i="1" s="1"/>
  <c r="Q256" i="1" s="1"/>
  <c r="Q286" i="1" s="1"/>
  <c r="Q317" i="1" s="1"/>
  <c r="P122" i="1"/>
  <c r="P226" i="1" s="1"/>
  <c r="P256" i="1" s="1"/>
  <c r="P286" i="1" s="1"/>
  <c r="P317" i="1" s="1"/>
  <c r="O122" i="1"/>
  <c r="O226" i="1" s="1"/>
  <c r="O256" i="1" s="1"/>
  <c r="O286" i="1" s="1"/>
  <c r="O317" i="1" s="1"/>
  <c r="N122" i="1"/>
  <c r="N226" i="1" s="1"/>
  <c r="N256" i="1" s="1"/>
  <c r="N286" i="1" s="1"/>
  <c r="N317" i="1" s="1"/>
  <c r="M122" i="1"/>
  <c r="M226" i="1" s="1"/>
  <c r="M256" i="1" s="1"/>
  <c r="M286" i="1" s="1"/>
  <c r="M317" i="1" s="1"/>
  <c r="L122" i="1"/>
  <c r="L226" i="1" s="1"/>
  <c r="L256" i="1" s="1"/>
  <c r="L286" i="1" s="1"/>
  <c r="L317" i="1" s="1"/>
  <c r="K122" i="1"/>
  <c r="K226" i="1" s="1"/>
  <c r="K256" i="1" s="1"/>
  <c r="K286" i="1" s="1"/>
  <c r="K317" i="1" s="1"/>
  <c r="V121" i="1"/>
  <c r="U121" i="1"/>
  <c r="T121" i="1"/>
  <c r="T225" i="1" s="1"/>
  <c r="T255" i="1" s="1"/>
  <c r="T285" i="1" s="1"/>
  <c r="T316" i="1" s="1"/>
  <c r="S121" i="1"/>
  <c r="S225" i="1" s="1"/>
  <c r="S255" i="1" s="1"/>
  <c r="S285" i="1" s="1"/>
  <c r="S316" i="1" s="1"/>
  <c r="R121" i="1"/>
  <c r="R225" i="1" s="1"/>
  <c r="R255" i="1" s="1"/>
  <c r="R285" i="1" s="1"/>
  <c r="R316" i="1" s="1"/>
  <c r="Q121" i="1"/>
  <c r="Q225" i="1" s="1"/>
  <c r="Q255" i="1" s="1"/>
  <c r="Q285" i="1" s="1"/>
  <c r="Q316" i="1" s="1"/>
  <c r="P121" i="1"/>
  <c r="P225" i="1" s="1"/>
  <c r="P255" i="1" s="1"/>
  <c r="P285" i="1" s="1"/>
  <c r="P316" i="1" s="1"/>
  <c r="O121" i="1"/>
  <c r="O225" i="1" s="1"/>
  <c r="O255" i="1" s="1"/>
  <c r="O285" i="1" s="1"/>
  <c r="O316" i="1" s="1"/>
  <c r="N121" i="1"/>
  <c r="N225" i="1" s="1"/>
  <c r="N255" i="1" s="1"/>
  <c r="N285" i="1" s="1"/>
  <c r="N316" i="1" s="1"/>
  <c r="M121" i="1"/>
  <c r="M225" i="1" s="1"/>
  <c r="M255" i="1" s="1"/>
  <c r="M285" i="1" s="1"/>
  <c r="M316" i="1" s="1"/>
  <c r="L121" i="1"/>
  <c r="L225" i="1" s="1"/>
  <c r="L255" i="1" s="1"/>
  <c r="L285" i="1" s="1"/>
  <c r="L316" i="1" s="1"/>
  <c r="K121" i="1"/>
  <c r="K225" i="1" s="1"/>
  <c r="K255" i="1" s="1"/>
  <c r="K285" i="1" s="1"/>
  <c r="K316" i="1" s="1"/>
  <c r="V120" i="1"/>
  <c r="U120" i="1"/>
  <c r="T120" i="1"/>
  <c r="T224" i="1" s="1"/>
  <c r="T254" i="1" s="1"/>
  <c r="S120" i="1"/>
  <c r="S224" i="1" s="1"/>
  <c r="R120" i="1"/>
  <c r="R224" i="1" s="1"/>
  <c r="R254" i="1" s="1"/>
  <c r="R284" i="1" s="1"/>
  <c r="R315" i="1" s="1"/>
  <c r="Q120" i="1"/>
  <c r="Q224" i="1" s="1"/>
  <c r="Q254" i="1" s="1"/>
  <c r="Q284" i="1" s="1"/>
  <c r="Q315" i="1" s="1"/>
  <c r="P120" i="1"/>
  <c r="P224" i="1" s="1"/>
  <c r="P254" i="1" s="1"/>
  <c r="P284" i="1" s="1"/>
  <c r="P315" i="1" s="1"/>
  <c r="O120" i="1"/>
  <c r="O224" i="1" s="1"/>
  <c r="O254" i="1" s="1"/>
  <c r="O284" i="1" s="1"/>
  <c r="O315" i="1" s="1"/>
  <c r="N120" i="1"/>
  <c r="N224" i="1" s="1"/>
  <c r="N254" i="1" s="1"/>
  <c r="N284" i="1" s="1"/>
  <c r="N315" i="1" s="1"/>
  <c r="M120" i="1"/>
  <c r="M224" i="1" s="1"/>
  <c r="M254" i="1" s="1"/>
  <c r="M284" i="1" s="1"/>
  <c r="M315" i="1" s="1"/>
  <c r="L120" i="1"/>
  <c r="L224" i="1" s="1"/>
  <c r="L254" i="1" s="1"/>
  <c r="L284" i="1" s="1"/>
  <c r="L315" i="1" s="1"/>
  <c r="K120" i="1"/>
  <c r="K224" i="1" s="1"/>
  <c r="K254" i="1" s="1"/>
  <c r="K284" i="1" s="1"/>
  <c r="K315" i="1" s="1"/>
  <c r="V119" i="1"/>
  <c r="U119" i="1"/>
  <c r="T119" i="1"/>
  <c r="T223" i="1" s="1"/>
  <c r="S119" i="1"/>
  <c r="S223" i="1" s="1"/>
  <c r="S253" i="1" s="1"/>
  <c r="R119" i="1"/>
  <c r="R223" i="1" s="1"/>
  <c r="R253" i="1" s="1"/>
  <c r="R283" i="1" s="1"/>
  <c r="R314" i="1" s="1"/>
  <c r="Q119" i="1"/>
  <c r="Q223" i="1" s="1"/>
  <c r="Q253" i="1" s="1"/>
  <c r="Q283" i="1" s="1"/>
  <c r="Q314" i="1" s="1"/>
  <c r="P119" i="1"/>
  <c r="P223" i="1" s="1"/>
  <c r="P253" i="1" s="1"/>
  <c r="P283" i="1" s="1"/>
  <c r="P314" i="1" s="1"/>
  <c r="O119" i="1"/>
  <c r="O223" i="1" s="1"/>
  <c r="O253" i="1" s="1"/>
  <c r="O283" i="1" s="1"/>
  <c r="O314" i="1" s="1"/>
  <c r="N119" i="1"/>
  <c r="N223" i="1" s="1"/>
  <c r="N253" i="1" s="1"/>
  <c r="N283" i="1" s="1"/>
  <c r="N314" i="1" s="1"/>
  <c r="M119" i="1"/>
  <c r="M223" i="1" s="1"/>
  <c r="M253" i="1" s="1"/>
  <c r="M283" i="1" s="1"/>
  <c r="M314" i="1" s="1"/>
  <c r="L119" i="1"/>
  <c r="L223" i="1" s="1"/>
  <c r="L253" i="1" s="1"/>
  <c r="L283" i="1" s="1"/>
  <c r="L314" i="1" s="1"/>
  <c r="K119" i="1"/>
  <c r="K223" i="1" s="1"/>
  <c r="K253" i="1" s="1"/>
  <c r="K283" i="1" s="1"/>
  <c r="K314" i="1" s="1"/>
  <c r="V118" i="1"/>
  <c r="U118" i="1"/>
  <c r="T118" i="1"/>
  <c r="T222" i="1" s="1"/>
  <c r="S118" i="1"/>
  <c r="S222" i="1" s="1"/>
  <c r="S252" i="1" s="1"/>
  <c r="R118" i="1"/>
  <c r="R222" i="1" s="1"/>
  <c r="R252" i="1" s="1"/>
  <c r="R282" i="1" s="1"/>
  <c r="R313" i="1" s="1"/>
  <c r="Q118" i="1"/>
  <c r="Q222" i="1" s="1"/>
  <c r="Q252" i="1" s="1"/>
  <c r="Q282" i="1" s="1"/>
  <c r="Q313" i="1" s="1"/>
  <c r="P118" i="1"/>
  <c r="P222" i="1" s="1"/>
  <c r="P252" i="1" s="1"/>
  <c r="P282" i="1" s="1"/>
  <c r="P313" i="1" s="1"/>
  <c r="O118" i="1"/>
  <c r="O222" i="1" s="1"/>
  <c r="O252" i="1" s="1"/>
  <c r="O282" i="1" s="1"/>
  <c r="O313" i="1" s="1"/>
  <c r="N118" i="1"/>
  <c r="N222" i="1" s="1"/>
  <c r="N252" i="1" s="1"/>
  <c r="N282" i="1" s="1"/>
  <c r="N313" i="1" s="1"/>
  <c r="M118" i="1"/>
  <c r="M222" i="1" s="1"/>
  <c r="M252" i="1" s="1"/>
  <c r="M282" i="1" s="1"/>
  <c r="M313" i="1" s="1"/>
  <c r="L118" i="1"/>
  <c r="L222" i="1" s="1"/>
  <c r="L252" i="1" s="1"/>
  <c r="L282" i="1" s="1"/>
  <c r="L313" i="1" s="1"/>
  <c r="K118" i="1"/>
  <c r="K222" i="1" s="1"/>
  <c r="K252" i="1" s="1"/>
  <c r="K282" i="1" s="1"/>
  <c r="K313" i="1" s="1"/>
  <c r="V117" i="1"/>
  <c r="U117" i="1"/>
  <c r="T117" i="1"/>
  <c r="T221" i="1" s="1"/>
  <c r="T248" i="1" s="1"/>
  <c r="S117" i="1"/>
  <c r="S221" i="1" s="1"/>
  <c r="R117" i="1"/>
  <c r="R221" i="1" s="1"/>
  <c r="R248" i="1" s="1"/>
  <c r="R278" i="1" s="1"/>
  <c r="Q117" i="1"/>
  <c r="Q221" i="1" s="1"/>
  <c r="Q248" i="1" s="1"/>
  <c r="Q278" i="1" s="1"/>
  <c r="Q309" i="1" s="1"/>
  <c r="P117" i="1"/>
  <c r="P221" i="1" s="1"/>
  <c r="P248" i="1" s="1"/>
  <c r="P278" i="1" s="1"/>
  <c r="P309" i="1" s="1"/>
  <c r="O117" i="1"/>
  <c r="O221" i="1" s="1"/>
  <c r="O248" i="1" s="1"/>
  <c r="O278" i="1" s="1"/>
  <c r="O309" i="1" s="1"/>
  <c r="N117" i="1"/>
  <c r="N221" i="1" s="1"/>
  <c r="N248" i="1" s="1"/>
  <c r="N278" i="1" s="1"/>
  <c r="N309" i="1" s="1"/>
  <c r="M117" i="1"/>
  <c r="M221" i="1" s="1"/>
  <c r="M248" i="1" s="1"/>
  <c r="M278" i="1" s="1"/>
  <c r="M309" i="1" s="1"/>
  <c r="L117" i="1"/>
  <c r="L221" i="1" s="1"/>
  <c r="L248" i="1" s="1"/>
  <c r="L278" i="1" s="1"/>
  <c r="L309" i="1" s="1"/>
  <c r="K117" i="1"/>
  <c r="K221" i="1" s="1"/>
  <c r="K248" i="1" s="1"/>
  <c r="K278" i="1" s="1"/>
  <c r="K309" i="1" s="1"/>
  <c r="V116" i="1"/>
  <c r="U116" i="1"/>
  <c r="T116" i="1"/>
  <c r="T220" i="1" s="1"/>
  <c r="T247" i="1" s="1"/>
  <c r="S116" i="1"/>
  <c r="S220" i="1" s="1"/>
  <c r="R116" i="1"/>
  <c r="R220" i="1" s="1"/>
  <c r="R247" i="1" s="1"/>
  <c r="R277" i="1" s="1"/>
  <c r="Q116" i="1"/>
  <c r="Q220" i="1" s="1"/>
  <c r="Q247" i="1" s="1"/>
  <c r="Q277" i="1" s="1"/>
  <c r="Q308" i="1" s="1"/>
  <c r="P116" i="1"/>
  <c r="P220" i="1" s="1"/>
  <c r="P247" i="1" s="1"/>
  <c r="P277" i="1" s="1"/>
  <c r="P308" i="1" s="1"/>
  <c r="O116" i="1"/>
  <c r="O220" i="1" s="1"/>
  <c r="O247" i="1" s="1"/>
  <c r="O277" i="1" s="1"/>
  <c r="O308" i="1" s="1"/>
  <c r="N116" i="1"/>
  <c r="N220" i="1" s="1"/>
  <c r="N247" i="1" s="1"/>
  <c r="N277" i="1" s="1"/>
  <c r="N308" i="1" s="1"/>
  <c r="M116" i="1"/>
  <c r="M220" i="1" s="1"/>
  <c r="M247" i="1" s="1"/>
  <c r="M277" i="1" s="1"/>
  <c r="M308" i="1" s="1"/>
  <c r="L116" i="1"/>
  <c r="L220" i="1" s="1"/>
  <c r="L247" i="1" s="1"/>
  <c r="L277" i="1" s="1"/>
  <c r="L308" i="1" s="1"/>
  <c r="K116" i="1"/>
  <c r="K220" i="1" s="1"/>
  <c r="K247" i="1" s="1"/>
  <c r="K277" i="1" s="1"/>
  <c r="K308" i="1" s="1"/>
  <c r="V115" i="1"/>
  <c r="U115" i="1"/>
  <c r="T115" i="1"/>
  <c r="T219" i="1" s="1"/>
  <c r="T246" i="1" s="1"/>
  <c r="S115" i="1"/>
  <c r="S219" i="1" s="1"/>
  <c r="R115" i="1"/>
  <c r="R219" i="1" s="1"/>
  <c r="R246" i="1" s="1"/>
  <c r="R276" i="1" s="1"/>
  <c r="Q115" i="1"/>
  <c r="Q219" i="1" s="1"/>
  <c r="Q246" i="1" s="1"/>
  <c r="Q276" i="1" s="1"/>
  <c r="Q307" i="1" s="1"/>
  <c r="P115" i="1"/>
  <c r="P219" i="1" s="1"/>
  <c r="P246" i="1" s="1"/>
  <c r="P276" i="1" s="1"/>
  <c r="P307" i="1" s="1"/>
  <c r="O115" i="1"/>
  <c r="O219" i="1" s="1"/>
  <c r="O246" i="1" s="1"/>
  <c r="O276" i="1" s="1"/>
  <c r="O307" i="1" s="1"/>
  <c r="N115" i="1"/>
  <c r="N219" i="1" s="1"/>
  <c r="N246" i="1" s="1"/>
  <c r="N276" i="1" s="1"/>
  <c r="N307" i="1" s="1"/>
  <c r="M115" i="1"/>
  <c r="M219" i="1" s="1"/>
  <c r="M246" i="1" s="1"/>
  <c r="M276" i="1" s="1"/>
  <c r="M307" i="1" s="1"/>
  <c r="L115" i="1"/>
  <c r="L219" i="1" s="1"/>
  <c r="L246" i="1" s="1"/>
  <c r="L276" i="1" s="1"/>
  <c r="L307" i="1" s="1"/>
  <c r="K115" i="1"/>
  <c r="K219" i="1" s="1"/>
  <c r="K246" i="1" s="1"/>
  <c r="K276" i="1" s="1"/>
  <c r="K307" i="1" s="1"/>
  <c r="V114" i="1"/>
  <c r="U114" i="1"/>
  <c r="T114" i="1"/>
  <c r="T218" i="1" s="1"/>
  <c r="S114" i="1"/>
  <c r="S218" i="1" s="1"/>
  <c r="S245" i="1" s="1"/>
  <c r="R114" i="1"/>
  <c r="R218" i="1" s="1"/>
  <c r="R245" i="1" s="1"/>
  <c r="R275" i="1" s="1"/>
  <c r="R306" i="1" s="1"/>
  <c r="Q114" i="1"/>
  <c r="Q218" i="1" s="1"/>
  <c r="Q245" i="1" s="1"/>
  <c r="Q275" i="1" s="1"/>
  <c r="Q306" i="1" s="1"/>
  <c r="P114" i="1"/>
  <c r="P218" i="1" s="1"/>
  <c r="P245" i="1" s="1"/>
  <c r="P275" i="1" s="1"/>
  <c r="P306" i="1" s="1"/>
  <c r="O114" i="1"/>
  <c r="O218" i="1" s="1"/>
  <c r="O245" i="1" s="1"/>
  <c r="O275" i="1" s="1"/>
  <c r="O306" i="1" s="1"/>
  <c r="N114" i="1"/>
  <c r="N218" i="1" s="1"/>
  <c r="N245" i="1" s="1"/>
  <c r="N275" i="1" s="1"/>
  <c r="N306" i="1" s="1"/>
  <c r="M114" i="1"/>
  <c r="M218" i="1" s="1"/>
  <c r="M245" i="1" s="1"/>
  <c r="M275" i="1" s="1"/>
  <c r="M306" i="1" s="1"/>
  <c r="L114" i="1"/>
  <c r="L218" i="1" s="1"/>
  <c r="L245" i="1" s="1"/>
  <c r="L275" i="1" s="1"/>
  <c r="L306" i="1" s="1"/>
  <c r="K114" i="1"/>
  <c r="K218" i="1" s="1"/>
  <c r="K245" i="1" s="1"/>
  <c r="K275" i="1" s="1"/>
  <c r="K306" i="1" s="1"/>
  <c r="V111" i="1"/>
  <c r="U111" i="1"/>
  <c r="T111" i="1"/>
  <c r="T215" i="1" s="1"/>
  <c r="T240" i="1" s="1"/>
  <c r="T270" i="1" s="1"/>
  <c r="T301" i="1" s="1"/>
  <c r="S111" i="1"/>
  <c r="S215" i="1" s="1"/>
  <c r="S240" i="1" s="1"/>
  <c r="S270" i="1" s="1"/>
  <c r="S301" i="1" s="1"/>
  <c r="R111" i="1"/>
  <c r="R215" i="1" s="1"/>
  <c r="R240" i="1" s="1"/>
  <c r="R270" i="1" s="1"/>
  <c r="R301" i="1" s="1"/>
  <c r="Q111" i="1"/>
  <c r="Q215" i="1" s="1"/>
  <c r="Q240" i="1" s="1"/>
  <c r="Q270" i="1" s="1"/>
  <c r="Q301" i="1" s="1"/>
  <c r="P111" i="1"/>
  <c r="P215" i="1" s="1"/>
  <c r="P240" i="1" s="1"/>
  <c r="P270" i="1" s="1"/>
  <c r="P301" i="1" s="1"/>
  <c r="O111" i="1"/>
  <c r="O215" i="1" s="1"/>
  <c r="O240" i="1" s="1"/>
  <c r="O270" i="1" s="1"/>
  <c r="O301" i="1" s="1"/>
  <c r="N111" i="1"/>
  <c r="N215" i="1" s="1"/>
  <c r="N240" i="1" s="1"/>
  <c r="N270" i="1" s="1"/>
  <c r="N301" i="1" s="1"/>
  <c r="M111" i="1"/>
  <c r="M215" i="1" s="1"/>
  <c r="M240" i="1" s="1"/>
  <c r="M270" i="1" s="1"/>
  <c r="M301" i="1" s="1"/>
  <c r="L111" i="1"/>
  <c r="L215" i="1" s="1"/>
  <c r="L240" i="1" s="1"/>
  <c r="L270" i="1" s="1"/>
  <c r="L301" i="1" s="1"/>
  <c r="K111" i="1"/>
  <c r="K215" i="1" s="1"/>
  <c r="K240" i="1" s="1"/>
  <c r="K270" i="1" s="1"/>
  <c r="K301" i="1" s="1"/>
  <c r="V110" i="1"/>
  <c r="U110" i="1"/>
  <c r="T110" i="1"/>
  <c r="T214" i="1" s="1"/>
  <c r="S110" i="1"/>
  <c r="S214" i="1" s="1"/>
  <c r="R110" i="1"/>
  <c r="R214" i="1" s="1"/>
  <c r="Q110" i="1"/>
  <c r="Q214" i="1" s="1"/>
  <c r="P110" i="1"/>
  <c r="P214" i="1" s="1"/>
  <c r="O110" i="1"/>
  <c r="O214" i="1" s="1"/>
  <c r="N110" i="1"/>
  <c r="N214" i="1" s="1"/>
  <c r="M110" i="1"/>
  <c r="M214" i="1" s="1"/>
  <c r="L110" i="1"/>
  <c r="L214" i="1" s="1"/>
  <c r="K110" i="1"/>
  <c r="K214" i="1" s="1"/>
  <c r="V109" i="1"/>
  <c r="U109" i="1"/>
  <c r="T109" i="1"/>
  <c r="T213" i="1" s="1"/>
  <c r="T237" i="1" s="1"/>
  <c r="S109" i="1"/>
  <c r="S213" i="1" s="1"/>
  <c r="R109" i="1"/>
  <c r="R213" i="1" s="1"/>
  <c r="R237" i="1" s="1"/>
  <c r="R267" i="1" s="1"/>
  <c r="R298" i="1" s="1"/>
  <c r="Q109" i="1"/>
  <c r="Q213" i="1" s="1"/>
  <c r="Q237" i="1" s="1"/>
  <c r="Q267" i="1" s="1"/>
  <c r="Q298" i="1" s="1"/>
  <c r="P109" i="1"/>
  <c r="P213" i="1" s="1"/>
  <c r="P237" i="1" s="1"/>
  <c r="P267" i="1" s="1"/>
  <c r="P298" i="1" s="1"/>
  <c r="O109" i="1"/>
  <c r="O213" i="1" s="1"/>
  <c r="O237" i="1" s="1"/>
  <c r="O267" i="1" s="1"/>
  <c r="O298" i="1" s="1"/>
  <c r="N109" i="1"/>
  <c r="N213" i="1" s="1"/>
  <c r="N237" i="1" s="1"/>
  <c r="N267" i="1" s="1"/>
  <c r="N298" i="1" s="1"/>
  <c r="M109" i="1"/>
  <c r="M213" i="1" s="1"/>
  <c r="M237" i="1" s="1"/>
  <c r="M267" i="1" s="1"/>
  <c r="M298" i="1" s="1"/>
  <c r="L109" i="1"/>
  <c r="L213" i="1" s="1"/>
  <c r="L237" i="1" s="1"/>
  <c r="L267" i="1" s="1"/>
  <c r="L298" i="1" s="1"/>
  <c r="K109" i="1"/>
  <c r="K213" i="1" s="1"/>
  <c r="K237" i="1" s="1"/>
  <c r="K267" i="1" s="1"/>
  <c r="K298" i="1" s="1"/>
  <c r="V108" i="1"/>
  <c r="U108" i="1"/>
  <c r="T108" i="1"/>
  <c r="T212" i="1" s="1"/>
  <c r="T236" i="1" s="1"/>
  <c r="S108" i="1"/>
  <c r="S212" i="1" s="1"/>
  <c r="R108" i="1"/>
  <c r="R212" i="1" s="1"/>
  <c r="R236" i="1" s="1"/>
  <c r="R266" i="1" s="1"/>
  <c r="R297" i="1" s="1"/>
  <c r="Q108" i="1"/>
  <c r="Q212" i="1" s="1"/>
  <c r="Q236" i="1" s="1"/>
  <c r="Q266" i="1" s="1"/>
  <c r="Q297" i="1" s="1"/>
  <c r="P108" i="1"/>
  <c r="P212" i="1" s="1"/>
  <c r="P236" i="1" s="1"/>
  <c r="P266" i="1" s="1"/>
  <c r="P297" i="1" s="1"/>
  <c r="O108" i="1"/>
  <c r="O212" i="1" s="1"/>
  <c r="O236" i="1" s="1"/>
  <c r="O266" i="1" s="1"/>
  <c r="O297" i="1" s="1"/>
  <c r="N108" i="1"/>
  <c r="N212" i="1" s="1"/>
  <c r="N236" i="1" s="1"/>
  <c r="N266" i="1" s="1"/>
  <c r="N297" i="1" s="1"/>
  <c r="M108" i="1"/>
  <c r="M212" i="1" s="1"/>
  <c r="M236" i="1" s="1"/>
  <c r="M266" i="1" s="1"/>
  <c r="M297" i="1" s="1"/>
  <c r="L108" i="1"/>
  <c r="L212" i="1" s="1"/>
  <c r="L236" i="1" s="1"/>
  <c r="L266" i="1" s="1"/>
  <c r="L297" i="1" s="1"/>
  <c r="K108" i="1"/>
  <c r="K212" i="1" s="1"/>
  <c r="K236" i="1" s="1"/>
  <c r="K266" i="1" s="1"/>
  <c r="K297" i="1" s="1"/>
  <c r="V107" i="1"/>
  <c r="U107" i="1"/>
  <c r="T107" i="1"/>
  <c r="T211" i="1" s="1"/>
  <c r="T235" i="1" s="1"/>
  <c r="S107" i="1"/>
  <c r="S211" i="1" s="1"/>
  <c r="R107" i="1"/>
  <c r="R211" i="1" s="1"/>
  <c r="R235" i="1" s="1"/>
  <c r="R265" i="1" s="1"/>
  <c r="R296" i="1" s="1"/>
  <c r="Q107" i="1"/>
  <c r="Q211" i="1" s="1"/>
  <c r="Q235" i="1" s="1"/>
  <c r="Q265" i="1" s="1"/>
  <c r="Q296" i="1" s="1"/>
  <c r="P107" i="1"/>
  <c r="P211" i="1" s="1"/>
  <c r="P235" i="1" s="1"/>
  <c r="P265" i="1" s="1"/>
  <c r="P296" i="1" s="1"/>
  <c r="O107" i="1"/>
  <c r="O211" i="1" s="1"/>
  <c r="O235" i="1" s="1"/>
  <c r="O265" i="1" s="1"/>
  <c r="O296" i="1" s="1"/>
  <c r="N107" i="1"/>
  <c r="N211" i="1" s="1"/>
  <c r="N235" i="1" s="1"/>
  <c r="N265" i="1" s="1"/>
  <c r="N296" i="1" s="1"/>
  <c r="M107" i="1"/>
  <c r="M211" i="1" s="1"/>
  <c r="M235" i="1" s="1"/>
  <c r="M265" i="1" s="1"/>
  <c r="M296" i="1" s="1"/>
  <c r="L107" i="1"/>
  <c r="L211" i="1" s="1"/>
  <c r="L235" i="1" s="1"/>
  <c r="L265" i="1" s="1"/>
  <c r="L296" i="1" s="1"/>
  <c r="K107" i="1"/>
  <c r="K211" i="1" s="1"/>
  <c r="K235" i="1" s="1"/>
  <c r="K265" i="1" s="1"/>
  <c r="K296" i="1" s="1"/>
  <c r="V229" i="1"/>
  <c r="U229" i="1"/>
  <c r="V228" i="1"/>
  <c r="U228" i="1"/>
  <c r="V227" i="1"/>
  <c r="U227" i="1"/>
  <c r="V226" i="1"/>
  <c r="U226" i="1"/>
  <c r="V225" i="1"/>
  <c r="U225" i="1"/>
  <c r="V224" i="1"/>
  <c r="U224" i="1"/>
  <c r="V223" i="1"/>
  <c r="U223" i="1"/>
  <c r="V222" i="1"/>
  <c r="U222" i="1"/>
  <c r="V221" i="1"/>
  <c r="U221" i="1"/>
  <c r="V220" i="1"/>
  <c r="U220" i="1"/>
  <c r="V214" i="1"/>
  <c r="U214" i="1"/>
  <c r="V213" i="1"/>
  <c r="U213" i="1"/>
  <c r="V212" i="1"/>
  <c r="U212" i="1"/>
  <c r="V211" i="1"/>
  <c r="U211" i="1"/>
  <c r="V193" i="1"/>
  <c r="U193" i="1"/>
  <c r="V192" i="1"/>
  <c r="U192" i="1"/>
  <c r="V166" i="1"/>
  <c r="U166" i="1"/>
  <c r="V165" i="1"/>
  <c r="U165" i="1"/>
  <c r="C211" i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180" i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56" i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07" i="1"/>
  <c r="C108" i="1" s="1"/>
  <c r="C109" i="1" s="1"/>
  <c r="C110" i="1" s="1"/>
  <c r="C111" i="1" s="1"/>
  <c r="C112" i="1" s="1"/>
  <c r="C113" i="1" s="1"/>
  <c r="C114" i="1" s="1"/>
  <c r="C115" i="1" s="1"/>
  <c r="C83" i="1"/>
  <c r="C84" i="1" s="1"/>
  <c r="C85" i="1" s="1"/>
  <c r="C86" i="1" s="1"/>
  <c r="C87" i="1" s="1"/>
  <c r="C88" i="1" s="1"/>
  <c r="C89" i="1" s="1"/>
  <c r="C90" i="1" s="1"/>
  <c r="C91" i="1" s="1"/>
  <c r="C92" i="1" s="1"/>
  <c r="C132" i="1"/>
  <c r="C133" i="1" s="1"/>
  <c r="C134" i="1" s="1"/>
  <c r="C135" i="1" s="1"/>
  <c r="C136" i="1" s="1"/>
  <c r="C137" i="1" s="1"/>
  <c r="C138" i="1" s="1"/>
  <c r="C139" i="1" s="1"/>
  <c r="C140" i="1" s="1"/>
  <c r="C141" i="1" s="1"/>
  <c r="V142" i="1"/>
  <c r="U142" i="1"/>
  <c r="V141" i="1"/>
  <c r="U141" i="1"/>
  <c r="C267" i="7" l="1"/>
  <c r="C268" i="7" s="1"/>
  <c r="C269" i="7" s="1"/>
  <c r="D267" i="7"/>
  <c r="D268" i="7" s="1"/>
  <c r="D269" i="7" s="1"/>
  <c r="O346" i="7"/>
  <c r="O388" i="7" s="1"/>
  <c r="R346" i="7"/>
  <c r="R388" i="7" s="1"/>
  <c r="S346" i="7"/>
  <c r="S388" i="7" s="1"/>
  <c r="Q346" i="7"/>
  <c r="Q388" i="7" s="1"/>
  <c r="T346" i="7"/>
  <c r="T388" i="7" s="1"/>
  <c r="P346" i="7"/>
  <c r="P388" i="7" s="1"/>
  <c r="L288" i="1"/>
  <c r="L319" i="1" s="1"/>
  <c r="M290" i="1"/>
  <c r="M321" i="1" s="1"/>
  <c r="N290" i="1"/>
  <c r="N321" i="1" s="1"/>
  <c r="P290" i="1"/>
  <c r="P321" i="1" s="1"/>
  <c r="R290" i="1"/>
  <c r="R321" i="1" s="1"/>
  <c r="S290" i="1"/>
  <c r="S321" i="1" s="1"/>
  <c r="T290" i="1"/>
  <c r="T321" i="1" s="1"/>
  <c r="L290" i="1"/>
  <c r="L321" i="1" s="1"/>
  <c r="K290" i="1"/>
  <c r="K321" i="1" s="1"/>
  <c r="O290" i="1"/>
  <c r="O321" i="1" s="1"/>
  <c r="Q290" i="1"/>
  <c r="Q321" i="1" s="1"/>
  <c r="S275" i="1"/>
  <c r="S306" i="1" s="1"/>
  <c r="T245" i="1"/>
  <c r="T275" i="1" s="1"/>
  <c r="T306" i="1" s="1"/>
  <c r="S282" i="1"/>
  <c r="S313" i="1" s="1"/>
  <c r="T252" i="1"/>
  <c r="T282" i="1" s="1"/>
  <c r="T313" i="1" s="1"/>
  <c r="D206" i="7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T278" i="1"/>
  <c r="T309" i="1" s="1"/>
  <c r="S248" i="1"/>
  <c r="S278" i="1" s="1"/>
  <c r="S309" i="1" s="1"/>
  <c r="T265" i="1"/>
  <c r="T296" i="1" s="1"/>
  <c r="S235" i="1"/>
  <c r="S265" i="1" s="1"/>
  <c r="S296" i="1" s="1"/>
  <c r="T277" i="1"/>
  <c r="T308" i="1" s="1"/>
  <c r="S247" i="1"/>
  <c r="S277" i="1" s="1"/>
  <c r="S308" i="1" s="1"/>
  <c r="T284" i="1"/>
  <c r="T315" i="1" s="1"/>
  <c r="S254" i="1"/>
  <c r="S284" i="1" s="1"/>
  <c r="S315" i="1" s="1"/>
  <c r="C206" i="7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222" i="7" s="1"/>
  <c r="C223" i="7" s="1"/>
  <c r="C224" i="7" s="1"/>
  <c r="C225" i="7" s="1"/>
  <c r="C226" i="7" s="1"/>
  <c r="C227" i="7" s="1"/>
  <c r="C228" i="7" s="1"/>
  <c r="C229" i="7" s="1"/>
  <c r="C230" i="7" s="1"/>
  <c r="C231" i="7" s="1"/>
  <c r="C232" i="7" s="1"/>
  <c r="C233" i="7" s="1"/>
  <c r="C234" i="7" s="1"/>
  <c r="S283" i="1"/>
  <c r="S314" i="1" s="1"/>
  <c r="T253" i="1"/>
  <c r="T283" i="1" s="1"/>
  <c r="T314" i="1" s="1"/>
  <c r="T266" i="1"/>
  <c r="T297" i="1" s="1"/>
  <c r="S236" i="1"/>
  <c r="S266" i="1" s="1"/>
  <c r="S297" i="1" s="1"/>
  <c r="T267" i="1"/>
  <c r="T298" i="1" s="1"/>
  <c r="S237" i="1"/>
  <c r="S267" i="1" s="1"/>
  <c r="S298" i="1" s="1"/>
  <c r="T276" i="1"/>
  <c r="T307" i="1" s="1"/>
  <c r="S246" i="1"/>
  <c r="S276" i="1" s="1"/>
  <c r="S307" i="1" s="1"/>
  <c r="S272" i="1"/>
  <c r="S303" i="1" s="1"/>
  <c r="T242" i="1"/>
  <c r="T272" i="1" s="1"/>
  <c r="T303" i="1" s="1"/>
  <c r="R239" i="1"/>
  <c r="R269" i="1" s="1"/>
  <c r="R300" i="1" s="1"/>
  <c r="K239" i="1"/>
  <c r="K269" i="1" s="1"/>
  <c r="K300" i="1" s="1"/>
  <c r="L239" i="1"/>
  <c r="L269" i="1" s="1"/>
  <c r="L300" i="1" s="1"/>
  <c r="M239" i="1"/>
  <c r="M269" i="1" s="1"/>
  <c r="M300" i="1" s="1"/>
  <c r="N239" i="1"/>
  <c r="N269" i="1" s="1"/>
  <c r="N300" i="1" s="1"/>
  <c r="O239" i="1"/>
  <c r="O269" i="1" s="1"/>
  <c r="O300" i="1" s="1"/>
  <c r="Q239" i="1"/>
  <c r="Q269" i="1" s="1"/>
  <c r="Q300" i="1" s="1"/>
  <c r="P239" i="1"/>
  <c r="P269" i="1" s="1"/>
  <c r="P300" i="1" s="1"/>
  <c r="T239" i="1"/>
  <c r="C194" i="7"/>
  <c r="C195" i="7" s="1"/>
  <c r="C90" i="7"/>
  <c r="C91" i="7" s="1"/>
  <c r="C92" i="7" s="1"/>
  <c r="C93" i="7" s="1"/>
  <c r="C94" i="7" s="1"/>
  <c r="C95" i="7" s="1"/>
  <c r="C96" i="7" s="1"/>
  <c r="C97" i="7" s="1"/>
  <c r="C98" i="7" s="1"/>
  <c r="D121" i="7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C121" i="7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99" i="1"/>
  <c r="C200" i="1" s="1"/>
  <c r="C201" i="1" s="1"/>
  <c r="C202" i="1" s="1"/>
  <c r="C203" i="1" s="1"/>
  <c r="C204" i="1" s="1"/>
  <c r="C205" i="1" s="1"/>
  <c r="C174" i="1"/>
  <c r="C175" i="1" s="1"/>
  <c r="C176" i="1" s="1"/>
  <c r="C177" i="1" s="1"/>
  <c r="C142" i="1"/>
  <c r="C143" i="1" s="1"/>
  <c r="C144" i="1" s="1"/>
  <c r="C145" i="1" s="1"/>
  <c r="C146" i="1" s="1"/>
  <c r="C147" i="1" s="1"/>
  <c r="C148" i="1" s="1"/>
  <c r="C149" i="1" s="1"/>
  <c r="C116" i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93" i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226" i="1"/>
  <c r="C227" i="1" s="1"/>
  <c r="C228" i="1" s="1"/>
  <c r="C229" i="1" s="1"/>
  <c r="C230" i="1" s="1"/>
  <c r="C231" i="1" s="1"/>
  <c r="C232" i="1" s="1"/>
  <c r="C196" i="7" l="1"/>
  <c r="C197" i="7" s="1"/>
  <c r="C198" i="7" s="1"/>
  <c r="C199" i="7" s="1"/>
  <c r="C200" i="7" s="1"/>
  <c r="C201" i="7" s="1"/>
  <c r="C202" i="7" s="1"/>
  <c r="C235" i="7"/>
  <c r="C236" i="7" s="1"/>
  <c r="D235" i="7"/>
  <c r="D236" i="7" s="1"/>
  <c r="C206" i="1"/>
  <c r="C207" i="1" s="1"/>
  <c r="C208" i="1" s="1"/>
  <c r="D270" i="7"/>
  <c r="D271" i="7" s="1"/>
  <c r="D272" i="7" s="1"/>
  <c r="D273" i="7" s="1"/>
  <c r="C270" i="7"/>
  <c r="C271" i="7" s="1"/>
  <c r="C272" i="7" s="1"/>
  <c r="C273" i="7" s="1"/>
  <c r="T269" i="1"/>
  <c r="T300" i="1" s="1"/>
  <c r="S239" i="1"/>
  <c r="S269" i="1" s="1"/>
  <c r="S300" i="1" s="1"/>
  <c r="C133" i="7"/>
  <c r="C134" i="7" s="1"/>
  <c r="D133" i="7"/>
  <c r="D134" i="7" s="1"/>
  <c r="C99" i="7"/>
  <c r="C100" i="7" s="1"/>
  <c r="C101" i="7" s="1"/>
  <c r="C102" i="7" s="1"/>
  <c r="C103" i="7" s="1"/>
  <c r="C104" i="7" s="1"/>
  <c r="C163" i="7"/>
  <c r="D237" i="7" l="1"/>
  <c r="D238" i="7" s="1"/>
  <c r="D239" i="7" s="1"/>
  <c r="D240" i="7" s="1"/>
  <c r="D241" i="7" s="1"/>
  <c r="D242" i="7" s="1"/>
  <c r="D243" i="7" s="1"/>
  <c r="C237" i="7"/>
  <c r="C238" i="7" s="1"/>
  <c r="C239" i="7" s="1"/>
  <c r="C240" i="7" s="1"/>
  <c r="C241" i="7" s="1"/>
  <c r="C242" i="7" s="1"/>
  <c r="C243" i="7" s="1"/>
  <c r="D135" i="7"/>
  <c r="D136" i="7" s="1"/>
  <c r="D137" i="7" s="1"/>
  <c r="D138" i="7" s="1"/>
  <c r="D139" i="7" s="1"/>
  <c r="D140" i="7" s="1"/>
  <c r="D141" i="7" s="1"/>
  <c r="C135" i="7"/>
  <c r="C136" i="7" s="1"/>
  <c r="C137" i="7" s="1"/>
  <c r="C138" i="7" s="1"/>
  <c r="C139" i="7" s="1"/>
  <c r="C140" i="7" s="1"/>
  <c r="C141" i="7" s="1"/>
  <c r="C105" i="7"/>
  <c r="C106" i="7" s="1"/>
  <c r="C164" i="7"/>
  <c r="C165" i="7" s="1"/>
  <c r="V93" i="1"/>
  <c r="U93" i="1"/>
  <c r="V92" i="1"/>
  <c r="U92" i="1"/>
  <c r="C166" i="7" l="1"/>
  <c r="C167" i="7" s="1"/>
  <c r="C168" i="7" s="1"/>
  <c r="C169" i="7" s="1"/>
  <c r="C170" i="7" s="1"/>
  <c r="C171" i="7" s="1"/>
  <c r="C172" i="7" s="1"/>
  <c r="C107" i="7"/>
  <c r="C108" i="7" s="1"/>
  <c r="C109" i="7" s="1"/>
  <c r="C110" i="7" s="1"/>
  <c r="C111" i="7" s="1"/>
  <c r="V205" i="1"/>
  <c r="U205" i="1"/>
  <c r="V203" i="1"/>
  <c r="U203" i="1"/>
  <c r="V202" i="1"/>
  <c r="U202" i="1"/>
  <c r="V201" i="1"/>
  <c r="U201" i="1"/>
  <c r="V200" i="1"/>
  <c r="U200" i="1"/>
  <c r="V199" i="1"/>
  <c r="U199" i="1"/>
  <c r="V198" i="1"/>
  <c r="U198" i="1"/>
  <c r="V197" i="1"/>
  <c r="U197" i="1"/>
  <c r="V191" i="1"/>
  <c r="U191" i="1"/>
  <c r="V190" i="1"/>
  <c r="U190" i="1"/>
  <c r="V187" i="1"/>
  <c r="U187" i="1"/>
  <c r="V185" i="1"/>
  <c r="U185" i="1"/>
  <c r="V184" i="1"/>
  <c r="U184" i="1"/>
  <c r="V182" i="1"/>
  <c r="U182" i="1"/>
  <c r="V181" i="1"/>
  <c r="U181" i="1"/>
  <c r="V180" i="1"/>
  <c r="U180" i="1"/>
  <c r="D180" i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V179" i="1"/>
  <c r="U179" i="1"/>
  <c r="W243" i="7"/>
  <c r="U243" i="7"/>
  <c r="W242" i="7"/>
  <c r="U242" i="7"/>
  <c r="W241" i="7"/>
  <c r="W240" i="7"/>
  <c r="U240" i="7"/>
  <c r="W239" i="7"/>
  <c r="U239" i="7"/>
  <c r="W238" i="7"/>
  <c r="U238" i="7"/>
  <c r="W234" i="7"/>
  <c r="U234" i="7"/>
  <c r="W232" i="7"/>
  <c r="U232" i="7"/>
  <c r="W231" i="7"/>
  <c r="U231" i="7"/>
  <c r="W225" i="7"/>
  <c r="U225" i="7"/>
  <c r="W224" i="7"/>
  <c r="U224" i="7"/>
  <c r="W223" i="7"/>
  <c r="U223" i="7"/>
  <c r="W222" i="7"/>
  <c r="U222" i="7"/>
  <c r="W221" i="7"/>
  <c r="U221" i="7"/>
  <c r="W218" i="7"/>
  <c r="U218" i="7"/>
  <c r="W217" i="7"/>
  <c r="U217" i="7"/>
  <c r="W211" i="7"/>
  <c r="U211" i="7"/>
  <c r="W210" i="7"/>
  <c r="U210" i="7"/>
  <c r="W209" i="7"/>
  <c r="U209" i="7"/>
  <c r="W208" i="7"/>
  <c r="U208" i="7"/>
  <c r="W205" i="7"/>
  <c r="U205" i="7"/>
  <c r="W204" i="7"/>
  <c r="U204" i="7"/>
  <c r="D199" i="1" l="1"/>
  <c r="D200" i="1" s="1"/>
  <c r="D201" i="1" s="1"/>
  <c r="D202" i="1" s="1"/>
  <c r="D203" i="1" s="1"/>
  <c r="D204" i="1" s="1"/>
  <c r="D205" i="1" s="1"/>
  <c r="W187" i="7"/>
  <c r="U187" i="7"/>
  <c r="W178" i="7"/>
  <c r="U178" i="7"/>
  <c r="W157" i="7"/>
  <c r="U157" i="7"/>
  <c r="W148" i="7"/>
  <c r="U148" i="7"/>
  <c r="W96" i="7"/>
  <c r="U96" i="7"/>
  <c r="U126" i="7" s="1"/>
  <c r="W87" i="7"/>
  <c r="U87" i="7"/>
  <c r="U117" i="7" s="1"/>
  <c r="D211" i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156" i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V163" i="1"/>
  <c r="U163" i="1"/>
  <c r="D132" i="1"/>
  <c r="D133" i="1" s="1"/>
  <c r="D134" i="1" s="1"/>
  <c r="D135" i="1" s="1"/>
  <c r="D136" i="1" s="1"/>
  <c r="V139" i="1"/>
  <c r="U139" i="1"/>
  <c r="AA114" i="1"/>
  <c r="V90" i="1"/>
  <c r="U90" i="1"/>
  <c r="D206" i="1" l="1"/>
  <c r="D207" i="1" s="1"/>
  <c r="D208" i="1" s="1"/>
  <c r="D137" i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74" i="1"/>
  <c r="D175" i="1" s="1"/>
  <c r="D176" i="1" s="1"/>
  <c r="D177" i="1" s="1"/>
  <c r="V172" i="1"/>
  <c r="U172" i="1"/>
  <c r="V148" i="1"/>
  <c r="U148" i="1"/>
  <c r="V99" i="1"/>
  <c r="U99" i="1"/>
  <c r="D226" i="1" l="1"/>
  <c r="D227" i="1" s="1"/>
  <c r="D228" i="1" s="1"/>
  <c r="D229" i="1" s="1"/>
  <c r="D230" i="1" s="1"/>
  <c r="D231" i="1" s="1"/>
  <c r="D232" i="1" s="1"/>
  <c r="G25" i="12"/>
  <c r="G26" i="12" s="1"/>
  <c r="F25" i="12"/>
  <c r="F26" i="12" s="1"/>
  <c r="E25" i="12"/>
  <c r="E26" i="12" s="1"/>
  <c r="G22" i="12"/>
  <c r="G23" i="12" s="1"/>
  <c r="F22" i="12"/>
  <c r="F23" i="12" s="1"/>
  <c r="E22" i="12"/>
  <c r="E23" i="12" s="1"/>
  <c r="C40" i="3" l="1"/>
  <c r="D40" i="3"/>
  <c r="E40" i="3"/>
  <c r="F40" i="3"/>
  <c r="G40" i="3"/>
  <c r="H40" i="3"/>
  <c r="I40" i="3"/>
  <c r="J40" i="3"/>
  <c r="K40" i="3"/>
  <c r="B40" i="3"/>
  <c r="AA210" i="1"/>
  <c r="AA234" i="1" s="1"/>
  <c r="AA264" i="1" s="1"/>
  <c r="AA295" i="1" s="1"/>
  <c r="V210" i="1"/>
  <c r="U210" i="1"/>
  <c r="AB245" i="7"/>
  <c r="AB275" i="7" s="1"/>
  <c r="W245" i="7"/>
  <c r="U245" i="7"/>
  <c r="AA214" i="1"/>
  <c r="AA213" i="1"/>
  <c r="AA237" i="1" s="1"/>
  <c r="AA267" i="1" s="1"/>
  <c r="AA298" i="1" s="1"/>
  <c r="AA212" i="1"/>
  <c r="AA236" i="1" s="1"/>
  <c r="AA266" i="1" s="1"/>
  <c r="AA297" i="1" s="1"/>
  <c r="AA211" i="1"/>
  <c r="AA235" i="1" s="1"/>
  <c r="AA265" i="1" s="1"/>
  <c r="AA296" i="1" s="1"/>
  <c r="W202" i="7"/>
  <c r="U202" i="7"/>
  <c r="W201" i="7"/>
  <c r="U201" i="7"/>
  <c r="W200" i="7"/>
  <c r="W199" i="7"/>
  <c r="U199" i="7"/>
  <c r="W198" i="7"/>
  <c r="U198" i="7"/>
  <c r="W193" i="7"/>
  <c r="U193" i="7"/>
  <c r="W192" i="7"/>
  <c r="U192" i="7"/>
  <c r="W191" i="7"/>
  <c r="U191" i="7"/>
  <c r="W188" i="7"/>
  <c r="U188" i="7"/>
  <c r="W186" i="7"/>
  <c r="U186" i="7"/>
  <c r="W185" i="7"/>
  <c r="U185" i="7"/>
  <c r="W184" i="7"/>
  <c r="U184" i="7"/>
  <c r="W183" i="7"/>
  <c r="U183" i="7"/>
  <c r="W182" i="7"/>
  <c r="U182" i="7"/>
  <c r="W179" i="7"/>
  <c r="U179" i="7"/>
  <c r="W177" i="7"/>
  <c r="U177" i="7"/>
  <c r="W176" i="7"/>
  <c r="U176" i="7"/>
  <c r="W175" i="7"/>
  <c r="U175" i="7"/>
  <c r="D175" i="7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W174" i="7"/>
  <c r="U174" i="7"/>
  <c r="W172" i="7"/>
  <c r="U172" i="7"/>
  <c r="W171" i="7"/>
  <c r="U171" i="7"/>
  <c r="W170" i="7"/>
  <c r="W169" i="7"/>
  <c r="U169" i="7"/>
  <c r="W168" i="7"/>
  <c r="U168" i="7"/>
  <c r="W167" i="7"/>
  <c r="U167" i="7"/>
  <c r="W163" i="7"/>
  <c r="U163" i="7"/>
  <c r="W162" i="7"/>
  <c r="U162" i="7"/>
  <c r="W161" i="7"/>
  <c r="U161" i="7"/>
  <c r="W158" i="7"/>
  <c r="U158" i="7"/>
  <c r="W156" i="7"/>
  <c r="U156" i="7"/>
  <c r="W155" i="7"/>
  <c r="U155" i="7"/>
  <c r="W154" i="7"/>
  <c r="U154" i="7"/>
  <c r="W153" i="7"/>
  <c r="U153" i="7"/>
  <c r="W152" i="7"/>
  <c r="U152" i="7"/>
  <c r="W149" i="7"/>
  <c r="U149" i="7"/>
  <c r="W147" i="7"/>
  <c r="U147" i="7"/>
  <c r="W146" i="7"/>
  <c r="U146" i="7"/>
  <c r="W145" i="7"/>
  <c r="U145" i="7"/>
  <c r="D145" i="7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W144" i="7"/>
  <c r="U144" i="7"/>
  <c r="V174" i="1"/>
  <c r="U174" i="1"/>
  <c r="V173" i="1"/>
  <c r="U173" i="1"/>
  <c r="V171" i="1"/>
  <c r="U171" i="1"/>
  <c r="V170" i="1"/>
  <c r="U170" i="1"/>
  <c r="V169" i="1"/>
  <c r="U169" i="1"/>
  <c r="V168" i="1"/>
  <c r="U168" i="1"/>
  <c r="V167" i="1"/>
  <c r="U167" i="1"/>
  <c r="V164" i="1"/>
  <c r="U164" i="1"/>
  <c r="V162" i="1"/>
  <c r="U162" i="1"/>
  <c r="V160" i="1"/>
  <c r="U160" i="1"/>
  <c r="V159" i="1"/>
  <c r="U159" i="1"/>
  <c r="V158" i="1"/>
  <c r="U158" i="1"/>
  <c r="V157" i="1"/>
  <c r="U157" i="1"/>
  <c r="V156" i="1"/>
  <c r="U156" i="1"/>
  <c r="V155" i="1"/>
  <c r="U155" i="1"/>
  <c r="V150" i="1"/>
  <c r="U150" i="1"/>
  <c r="V149" i="1"/>
  <c r="U149" i="1"/>
  <c r="V147" i="1"/>
  <c r="U147" i="1"/>
  <c r="V146" i="1"/>
  <c r="U146" i="1"/>
  <c r="V145" i="1"/>
  <c r="U145" i="1"/>
  <c r="V144" i="1"/>
  <c r="U144" i="1"/>
  <c r="V143" i="1"/>
  <c r="U143" i="1"/>
  <c r="V140" i="1"/>
  <c r="U140" i="1"/>
  <c r="V138" i="1"/>
  <c r="U138" i="1"/>
  <c r="V136" i="1"/>
  <c r="U136" i="1"/>
  <c r="V135" i="1"/>
  <c r="U135" i="1"/>
  <c r="V134" i="1"/>
  <c r="U134" i="1"/>
  <c r="V133" i="1"/>
  <c r="U133" i="1"/>
  <c r="V132" i="1"/>
  <c r="U132" i="1"/>
  <c r="V131" i="1"/>
  <c r="U131" i="1"/>
  <c r="S43" i="4"/>
  <c r="S44" i="4" s="1"/>
  <c r="S45" i="4" s="1"/>
  <c r="S46" i="4" s="1"/>
  <c r="S47" i="4" s="1"/>
  <c r="S48" i="4" s="1"/>
  <c r="S49" i="4" s="1"/>
  <c r="S50" i="4" s="1"/>
  <c r="S51" i="4" s="1"/>
  <c r="S52" i="4" s="1"/>
  <c r="S53" i="4" s="1"/>
  <c r="S54" i="4" s="1"/>
  <c r="S55" i="4" s="1"/>
  <c r="S56" i="4" s="1"/>
  <c r="AB315" i="7" l="1"/>
  <c r="AB357" i="7" s="1"/>
  <c r="AA239" i="1"/>
  <c r="AA269" i="1" s="1"/>
  <c r="AA300" i="1" s="1"/>
  <c r="D194" i="7"/>
  <c r="D195" i="7" s="1"/>
  <c r="R43" i="4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U91" i="7"/>
  <c r="U121" i="7" s="1"/>
  <c r="R106" i="1"/>
  <c r="R210" i="1" s="1"/>
  <c r="R234" i="1" s="1"/>
  <c r="R264" i="1" s="1"/>
  <c r="R295" i="1" s="1"/>
  <c r="Q106" i="1"/>
  <c r="Q210" i="1" s="1"/>
  <c r="Q234" i="1" s="1"/>
  <c r="Q264" i="1" s="1"/>
  <c r="Q295" i="1" s="1"/>
  <c r="P106" i="1"/>
  <c r="P210" i="1" s="1"/>
  <c r="P234" i="1" s="1"/>
  <c r="P264" i="1" s="1"/>
  <c r="P295" i="1" s="1"/>
  <c r="O106" i="1"/>
  <c r="O210" i="1" s="1"/>
  <c r="O234" i="1" s="1"/>
  <c r="O264" i="1" s="1"/>
  <c r="O295" i="1" s="1"/>
  <c r="N106" i="1"/>
  <c r="N210" i="1" s="1"/>
  <c r="N234" i="1" s="1"/>
  <c r="N264" i="1" s="1"/>
  <c r="N295" i="1" s="1"/>
  <c r="M106" i="1"/>
  <c r="M210" i="1" s="1"/>
  <c r="M234" i="1" s="1"/>
  <c r="M264" i="1" s="1"/>
  <c r="M295" i="1" s="1"/>
  <c r="L106" i="1"/>
  <c r="L210" i="1" s="1"/>
  <c r="L234" i="1" s="1"/>
  <c r="L264" i="1" s="1"/>
  <c r="L295" i="1" s="1"/>
  <c r="AA110" i="1"/>
  <c r="AA109" i="1"/>
  <c r="AA108" i="1"/>
  <c r="V86" i="1"/>
  <c r="U86" i="1"/>
  <c r="V85" i="1"/>
  <c r="U85" i="1"/>
  <c r="V83" i="1"/>
  <c r="U83" i="1"/>
  <c r="U84" i="1"/>
  <c r="V84" i="1"/>
  <c r="W109" i="7"/>
  <c r="D196" i="7" l="1"/>
  <c r="D197" i="7" s="1"/>
  <c r="D198" i="7" s="1"/>
  <c r="D199" i="7" s="1"/>
  <c r="D200" i="7" s="1"/>
  <c r="D201" i="7" s="1"/>
  <c r="D202" i="7" s="1"/>
  <c r="D163" i="7"/>
  <c r="U101" i="7"/>
  <c r="U131" i="7" s="1"/>
  <c r="D164" i="7" l="1"/>
  <c r="D165" i="7" s="1"/>
  <c r="S113" i="7"/>
  <c r="S245" i="7" s="1"/>
  <c r="S275" i="7" s="1"/>
  <c r="S315" i="7" l="1"/>
  <c r="S357" i="7" s="1"/>
  <c r="D166" i="7"/>
  <c r="D167" i="7" s="1"/>
  <c r="D168" i="7" s="1"/>
  <c r="D169" i="7" s="1"/>
  <c r="D170" i="7" s="1"/>
  <c r="D171" i="7" s="1"/>
  <c r="D172" i="7" s="1"/>
  <c r="W102" i="7"/>
  <c r="U102" i="7"/>
  <c r="U132" i="7" s="1"/>
  <c r="W101" i="7"/>
  <c r="V101" i="1" l="1"/>
  <c r="V100" i="1"/>
  <c r="U101" i="1"/>
  <c r="U100" i="1"/>
  <c r="C97" i="8" l="1"/>
  <c r="C85" i="8"/>
  <c r="C76" i="8"/>
  <c r="C67" i="8"/>
  <c r="G98" i="8"/>
  <c r="C98" i="8" s="1"/>
  <c r="G86" i="8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C96" i="8" s="1"/>
  <c r="G77" i="8"/>
  <c r="G78" i="8" s="1"/>
  <c r="G79" i="8" s="1"/>
  <c r="G80" i="8" s="1"/>
  <c r="G81" i="8" s="1"/>
  <c r="G82" i="8" s="1"/>
  <c r="G83" i="8" s="1"/>
  <c r="G84" i="8" s="1"/>
  <c r="C84" i="8" s="1"/>
  <c r="G68" i="8"/>
  <c r="G69" i="8" s="1"/>
  <c r="C68" i="8" l="1"/>
  <c r="C87" i="8"/>
  <c r="G70" i="8"/>
  <c r="C69" i="8"/>
  <c r="C77" i="8"/>
  <c r="C93" i="8"/>
  <c r="C78" i="8"/>
  <c r="C86" i="8"/>
  <c r="C94" i="8"/>
  <c r="C79" i="8"/>
  <c r="C95" i="8"/>
  <c r="C80" i="8"/>
  <c r="C88" i="8"/>
  <c r="C81" i="8"/>
  <c r="C89" i="8"/>
  <c r="G99" i="8"/>
  <c r="C82" i="8"/>
  <c r="C90" i="8"/>
  <c r="C83" i="8"/>
  <c r="C91" i="8"/>
  <c r="C92" i="8"/>
  <c r="V106" i="1"/>
  <c r="U106" i="1"/>
  <c r="V98" i="1"/>
  <c r="V97" i="1"/>
  <c r="V96" i="1"/>
  <c r="V95" i="1"/>
  <c r="V94" i="1"/>
  <c r="V91" i="1"/>
  <c r="V89" i="1"/>
  <c r="V87" i="1"/>
  <c r="V82" i="1"/>
  <c r="U98" i="1"/>
  <c r="U97" i="1"/>
  <c r="U96" i="1"/>
  <c r="U95" i="1"/>
  <c r="U94" i="1"/>
  <c r="U91" i="1"/>
  <c r="U89" i="1"/>
  <c r="U87" i="1"/>
  <c r="U82" i="1"/>
  <c r="U83" i="7"/>
  <c r="U113" i="7" s="1"/>
  <c r="G100" i="8" l="1"/>
  <c r="C99" i="8"/>
  <c r="G71" i="8"/>
  <c r="C70" i="8"/>
  <c r="W111" i="7"/>
  <c r="W110" i="7"/>
  <c r="W108" i="7"/>
  <c r="W107" i="7"/>
  <c r="W106" i="7"/>
  <c r="W100" i="7"/>
  <c r="W97" i="7"/>
  <c r="W95" i="7"/>
  <c r="W94" i="7"/>
  <c r="W93" i="7"/>
  <c r="W92" i="7"/>
  <c r="W91" i="7"/>
  <c r="W88" i="7"/>
  <c r="W86" i="7"/>
  <c r="W85" i="7"/>
  <c r="W84" i="7"/>
  <c r="W83" i="7"/>
  <c r="U111" i="7"/>
  <c r="U141" i="7" s="1"/>
  <c r="U110" i="7"/>
  <c r="U140" i="7" s="1"/>
  <c r="U108" i="7"/>
  <c r="U138" i="7" s="1"/>
  <c r="U107" i="7"/>
  <c r="U137" i="7" s="1"/>
  <c r="U106" i="7"/>
  <c r="U136" i="7" s="1"/>
  <c r="U100" i="7"/>
  <c r="U130" i="7" s="1"/>
  <c r="U97" i="7"/>
  <c r="U127" i="7" s="1"/>
  <c r="U95" i="7"/>
  <c r="U125" i="7" s="1"/>
  <c r="U94" i="7"/>
  <c r="U124" i="7" s="1"/>
  <c r="U93" i="7"/>
  <c r="U123" i="7" s="1"/>
  <c r="U92" i="7"/>
  <c r="U122" i="7" s="1"/>
  <c r="U88" i="7"/>
  <c r="U118" i="7" s="1"/>
  <c r="U86" i="7"/>
  <c r="U116" i="7" s="1"/>
  <c r="U85" i="7"/>
  <c r="U115" i="7" s="1"/>
  <c r="U84" i="7"/>
  <c r="U114" i="7" s="1"/>
  <c r="G72" i="8" l="1"/>
  <c r="C71" i="8"/>
  <c r="G101" i="8"/>
  <c r="C100" i="8"/>
  <c r="C23" i="5"/>
  <c r="G73" i="8" l="1"/>
  <c r="C72" i="8"/>
  <c r="G102" i="8"/>
  <c r="C101" i="8"/>
  <c r="R113" i="7"/>
  <c r="R245" i="7" s="1"/>
  <c r="R275" i="7" s="1"/>
  <c r="R315" i="7" l="1"/>
  <c r="R357" i="7" s="1"/>
  <c r="G103" i="8"/>
  <c r="C102" i="8"/>
  <c r="G74" i="8"/>
  <c r="C73" i="8"/>
  <c r="T113" i="7"/>
  <c r="T245" i="7" s="1"/>
  <c r="T275" i="7" s="1"/>
  <c r="T315" i="7" l="1"/>
  <c r="T357" i="7" s="1"/>
  <c r="G75" i="8"/>
  <c r="C75" i="8" s="1"/>
  <c r="C74" i="8"/>
  <c r="G104" i="8"/>
  <c r="C103" i="8"/>
  <c r="G105" i="8" l="1"/>
  <c r="C104" i="8"/>
  <c r="G106" i="8" l="1"/>
  <c r="C105" i="8"/>
  <c r="AB113" i="7"/>
  <c r="Q113" i="7"/>
  <c r="Q245" i="7" s="1"/>
  <c r="Q275" i="7" s="1"/>
  <c r="P113" i="7"/>
  <c r="P245" i="7" s="1"/>
  <c r="P275" i="7" s="1"/>
  <c r="O113" i="7"/>
  <c r="O245" i="7" s="1"/>
  <c r="O275" i="7" s="1"/>
  <c r="P315" i="7" l="1"/>
  <c r="P357" i="7" s="1"/>
  <c r="O315" i="7"/>
  <c r="O357" i="7" s="1"/>
  <c r="Q315" i="7"/>
  <c r="Q357" i="7" s="1"/>
  <c r="G107" i="8"/>
  <c r="C106" i="8"/>
  <c r="D84" i="7"/>
  <c r="D85" i="7" s="1"/>
  <c r="D86" i="7" s="1"/>
  <c r="D87" i="7" s="1"/>
  <c r="D88" i="7" s="1"/>
  <c r="D89" i="7" s="1"/>
  <c r="M79" i="7"/>
  <c r="N79" i="7" s="1"/>
  <c r="O79" i="7" s="1"/>
  <c r="P79" i="7" s="1"/>
  <c r="Q79" i="7" s="1"/>
  <c r="R79" i="7" s="1"/>
  <c r="S79" i="7" s="1"/>
  <c r="T79" i="7" s="1"/>
  <c r="U79" i="7" s="1"/>
  <c r="V79" i="7" s="1"/>
  <c r="W79" i="7" s="1"/>
  <c r="X79" i="7" s="1"/>
  <c r="Y79" i="7" s="1"/>
  <c r="Z79" i="7" s="1"/>
  <c r="D90" i="7" l="1"/>
  <c r="D91" i="7" s="1"/>
  <c r="D92" i="7" s="1"/>
  <c r="D93" i="7" s="1"/>
  <c r="D94" i="7" s="1"/>
  <c r="D95" i="7" s="1"/>
  <c r="D96" i="7" s="1"/>
  <c r="D97" i="7" s="1"/>
  <c r="D98" i="7" s="1"/>
  <c r="G108" i="8"/>
  <c r="C108" i="8" s="1"/>
  <c r="C107" i="8"/>
  <c r="AA113" i="1"/>
  <c r="AA111" i="1"/>
  <c r="AA107" i="1"/>
  <c r="AA106" i="1"/>
  <c r="D99" i="7" l="1"/>
  <c r="D100" i="7" s="1"/>
  <c r="D101" i="7" s="1"/>
  <c r="D102" i="7" s="1"/>
  <c r="D103" i="7" s="1"/>
  <c r="D104" i="7" s="1"/>
  <c r="G78" i="1"/>
  <c r="D105" i="7" l="1"/>
  <c r="D106" i="7" s="1"/>
  <c r="H78" i="1"/>
  <c r="T106" i="1"/>
  <c r="T210" i="1" s="1"/>
  <c r="S106" i="1"/>
  <c r="S210" i="1" s="1"/>
  <c r="S234" i="1" s="1"/>
  <c r="K106" i="1"/>
  <c r="K210" i="1" s="1"/>
  <c r="K234" i="1" s="1"/>
  <c r="K264" i="1" s="1"/>
  <c r="K295" i="1" s="1"/>
  <c r="D107" i="1"/>
  <c r="D108" i="1" s="1"/>
  <c r="D109" i="1" s="1"/>
  <c r="D110" i="1" s="1"/>
  <c r="D111" i="1" s="1"/>
  <c r="I78" i="1" l="1"/>
  <c r="J78" i="1" s="1"/>
  <c r="K78" i="1" s="1"/>
  <c r="L78" i="1" s="1"/>
  <c r="M78" i="1" s="1"/>
  <c r="N78" i="1" s="1"/>
  <c r="O78" i="1" s="1"/>
  <c r="P78" i="1" s="1"/>
  <c r="Q78" i="1" s="1"/>
  <c r="R78" i="1" s="1"/>
  <c r="S78" i="1" s="1"/>
  <c r="T78" i="1" s="1"/>
  <c r="U78" i="1" s="1"/>
  <c r="D107" i="7"/>
  <c r="D108" i="7" s="1"/>
  <c r="D109" i="7" s="1"/>
  <c r="D110" i="7" s="1"/>
  <c r="D111" i="7" s="1"/>
  <c r="S264" i="1"/>
  <c r="S295" i="1" s="1"/>
  <c r="T234" i="1"/>
  <c r="T264" i="1" s="1"/>
  <c r="T295" i="1" s="1"/>
  <c r="D112" i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C15" i="3"/>
  <c r="C16" i="3" s="1"/>
  <c r="C17" i="3" s="1"/>
  <c r="C18" i="3" s="1"/>
  <c r="C19" i="3" s="1"/>
  <c r="C20" i="3" s="1"/>
  <c r="C21" i="3" s="1"/>
  <c r="C22" i="3" s="1"/>
  <c r="C23" i="3" s="1"/>
  <c r="V78" i="1" l="1"/>
  <c r="W78" i="1" s="1"/>
  <c r="X78" i="1" s="1"/>
  <c r="Y7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Criswell</author>
  </authors>
  <commentList>
    <comment ref="F210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SAC 6/22/17</t>
        </r>
        <r>
          <rPr>
            <sz val="9"/>
            <color indexed="81"/>
            <rFont val="Tahoma"/>
            <family val="2"/>
          </rPr>
          <t xml:space="preserve">
modified for consistency w/ fed stds (tic #629)</t>
        </r>
      </text>
    </comment>
    <comment ref="R307" authorId="0" shapeId="0" xr:uid="{EE9269BA-311C-4005-92CC-EA8F50EBF870}">
      <text>
        <r>
          <rPr>
            <b/>
            <sz val="9"/>
            <color indexed="81"/>
            <rFont val="Tahoma"/>
            <charset val="1"/>
          </rPr>
          <t>SAC 9/12/25:</t>
        </r>
        <r>
          <rPr>
            <sz val="9"/>
            <color indexed="81"/>
            <rFont val="Tahoma"/>
            <charset val="1"/>
          </rPr>
          <t xml:space="preserve">
no longer PropEqStd as of 2025.2.0</t>
        </r>
      </text>
    </comment>
    <comment ref="K322" authorId="0" shapeId="0" xr:uid="{BFB2A881-6BB4-408D-9AA0-888D62601572}">
      <text>
        <r>
          <rPr>
            <b/>
            <sz val="9"/>
            <color indexed="81"/>
            <rFont val="Tahoma"/>
            <charset val="1"/>
          </rPr>
          <t>SAC 09/15/25:</t>
        </r>
        <r>
          <rPr>
            <sz val="9"/>
            <color indexed="81"/>
            <rFont val="Tahoma"/>
            <charset val="1"/>
          </rPr>
          <t xml:space="preserve">
toggle off access to VCHP compliance option system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tchau110314</author>
    <author>Scott Criswell</author>
  </authors>
  <commentList>
    <comment ref="O106" authorId="0" shapeId="0" xr:uid="{00000000-0006-0000-0900-000001000000}">
      <text>
        <r>
          <rPr>
            <b/>
            <sz val="8"/>
            <color indexed="81"/>
            <rFont val="Tahoma"/>
            <family val="2"/>
          </rPr>
          <t>tchau110314:</t>
        </r>
        <r>
          <rPr>
            <sz val="8"/>
            <color indexed="81"/>
            <rFont val="Tahoma"/>
            <family val="2"/>
          </rPr>
          <t xml:space="preserve">
disabled. Not working correctly</t>
        </r>
      </text>
    </comment>
    <comment ref="R372" authorId="1" shapeId="0" xr:uid="{6958E1A3-05CA-41C5-B1B5-C221F19D65C7}">
      <text>
        <r>
          <rPr>
            <b/>
            <sz val="9"/>
            <color indexed="81"/>
            <rFont val="Tahoma"/>
            <charset val="1"/>
          </rPr>
          <t>SAC 09/15/25:</t>
        </r>
        <r>
          <rPr>
            <sz val="9"/>
            <color indexed="81"/>
            <rFont val="Tahoma"/>
            <charset val="1"/>
          </rPr>
          <t xml:space="preserve">
Hide MultiSpeed checkbox for PerfMap systems</t>
        </r>
      </text>
    </comment>
    <comment ref="S379" authorId="1" shapeId="0" xr:uid="{137A7121-B46C-46E7-B358-503666284B07}">
      <text>
        <r>
          <rPr>
            <b/>
            <sz val="9"/>
            <color indexed="81"/>
            <rFont val="Tahoma"/>
            <charset val="1"/>
          </rPr>
          <t>SAC 9/12/25:</t>
        </r>
        <r>
          <rPr>
            <sz val="9"/>
            <color indexed="81"/>
            <rFont val="Tahoma"/>
            <charset val="1"/>
          </rPr>
          <t xml:space="preserve">
no longer PropEqStd as of 2025.2.0</t>
        </r>
      </text>
    </comment>
    <comment ref="O389" authorId="1" shapeId="0" xr:uid="{7D373415-AFD6-4D97-95AB-A5AD9C395852}">
      <text>
        <r>
          <rPr>
            <b/>
            <sz val="9"/>
            <color indexed="81"/>
            <rFont val="Tahoma"/>
            <charset val="1"/>
          </rPr>
          <t>SAC 09/15/25:</t>
        </r>
        <r>
          <rPr>
            <sz val="9"/>
            <color indexed="81"/>
            <rFont val="Tahoma"/>
            <charset val="1"/>
          </rPr>
          <t xml:space="preserve">
toggle Off use of VCHP compliance option system type</t>
        </r>
      </text>
    </comment>
  </commentList>
</comments>
</file>

<file path=xl/sharedStrings.xml><?xml version="1.0" encoding="utf-8"?>
<sst xmlns="http://schemas.openxmlformats.org/spreadsheetml/2006/main" count="8116" uniqueCount="1183">
  <si>
    <t>;</t>
  </si>
  <si>
    <t>CEC Title-24 Residential Compliance Ruleset</t>
  </si>
  <si>
    <t>Heating Equipment Look-up Table</t>
  </si>
  <si>
    <t>Last modified:</t>
  </si>
  <si>
    <t>Mod history:</t>
  </si>
  <si>
    <t>1/2/2013 - SAC - created initial table</t>
  </si>
  <si>
    <t>Independents:</t>
  </si>
  <si>
    <t>Dependents:</t>
  </si>
  <si>
    <t>;  System</t>
  </si>
  <si>
    <t>;    Type</t>
  </si>
  <si>
    <t>AFUE</t>
  </si>
  <si>
    <t>HSPF</t>
  </si>
  <si>
    <t>ERROR - unrecognized heating equipment type</t>
  </si>
  <si>
    <t xml:space="preserve">CntrlFurnace - Fuel-fired central furnace                         </t>
  </si>
  <si>
    <t xml:space="preserve">Heater - Non-central fuel-fired space heater                      </t>
  </si>
  <si>
    <t xml:space="preserve">Boiler - Gas or oil boiler                                        </t>
  </si>
  <si>
    <t xml:space="preserve">SplitHeatPump - Heating side of central split heat pump           </t>
  </si>
  <si>
    <t xml:space="preserve">PkgHeatPump - Heating side of central packaged heat pump          </t>
  </si>
  <si>
    <t>LrgPkgHeatPump - Heating side of large (&gt;= 65 kBtuh) packaged unit</t>
  </si>
  <si>
    <t xml:space="preserve">RoomHeatPump - Heating side of non-central room A/C system        </t>
  </si>
  <si>
    <t xml:space="preserve">Electric - All electric heating systems other than heat pump      </t>
  </si>
  <si>
    <t xml:space="preserve">CombHydro - Water heating system can be storage gas/elec/ht pump  </t>
  </si>
  <si>
    <t>(ratio)</t>
  </si>
  <si>
    <t>(%)</t>
  </si>
  <si>
    <t>Source Data:</t>
  </si>
  <si>
    <t>Federal Register / Vol. 76, No. 123 / Monday, June 27, 2011 / Proposed Rules</t>
  </si>
  <si>
    <t>DEPARTMENT OF ENERGY / 10 CFR Part 430 / [Docket Number EERE–2011–BT–STD– 0011] / RIN 1904–AC06</t>
  </si>
  <si>
    <t>Energy Conservation Program: Energy Conservation Standards for Residential Furnaces and Residential Central Air Conditioners and Heat Pumps</t>
  </si>
  <si>
    <t>NAECA_Standards_-_Fed_Reg_June_27,_2011.pdf</t>
  </si>
  <si>
    <t>Other cell color coding:</t>
  </si>
  <si>
    <t>no performance standard/efficiency defined</t>
  </si>
  <si>
    <t>1/3/2013 - SAC - created initial table</t>
  </si>
  <si>
    <t>CA Climate Zone (1-16)</t>
  </si>
  <si>
    <t>(°F)</t>
  </si>
  <si>
    <t>reporting</t>
  </si>
  <si>
    <t>autosizing</t>
  </si>
  <si>
    <t>Heating</t>
  </si>
  <si>
    <t>Design</t>
  </si>
  <si>
    <t>Cooling</t>
  </si>
  <si>
    <t>DD1</t>
  </si>
  <si>
    <t>Month</t>
  </si>
  <si>
    <t>Coldest</t>
  </si>
  <si>
    <t>CD1</t>
  </si>
  <si>
    <t>Hottest</t>
  </si>
  <si>
    <t>HD1</t>
  </si>
  <si>
    <t xml:space="preserve"> (reporting)</t>
  </si>
  <si>
    <t xml:space="preserve"> (autosizing)</t>
  </si>
  <si>
    <t>Mo Da</t>
  </si>
  <si>
    <t>ClimateZone</t>
  </si>
  <si>
    <t>HtgDesign</t>
  </si>
  <si>
    <t>ENDTABLE</t>
  </si>
  <si>
    <t>Climate Zone-based Design Day (autosizing and hourly reports) defaults</t>
  </si>
  <si>
    <t xml:space="preserve"> Jul 01</t>
  </si>
  <si>
    <t>Bruce Wilcox - 1/4/2013</t>
  </si>
  <si>
    <t>1/4/2013 - BAW - added the data for the remaining zones</t>
  </si>
  <si>
    <t>Slab Edge Insulation coefficients</t>
  </si>
  <si>
    <t>1/6/13 - SAC</t>
  </si>
  <si>
    <t>Bruce Wilcox - 8/1/2012  (SlabFactV3.xls)</t>
  </si>
  <si>
    <t>1/6/2013 - SAC - created initial table</t>
  </si>
  <si>
    <t>Look-up value - integer value equivalent to ( (R-value * 1000) + (depth in inches) )</t>
  </si>
  <si>
    <t>Exposed - Perimeter - ???</t>
  </si>
  <si>
    <t>Exposed - Core - ???</t>
  </si>
  <si>
    <t>Carpeted - Perimeter - ???</t>
  </si>
  <si>
    <t>Carpeted - Core - ???</t>
  </si>
  <si>
    <t>CSE variable</t>
  </si>
  <si>
    <t>sfExCTGrnd</t>
  </si>
  <si>
    <t>sfExCTaDbAvgYr</t>
  </si>
  <si>
    <t>sfExCTaDbAvg14</t>
  </si>
  <si>
    <t xml:space="preserve">  Exposed</t>
  </si>
  <si>
    <t xml:space="preserve">  Perimeter</t>
  </si>
  <si>
    <t xml:space="preserve">  Core</t>
  </si>
  <si>
    <t xml:space="preserve">  Carpeted</t>
  </si>
  <si>
    <t>;  Rval * 1k</t>
  </si>
  <si>
    <t>;  + DepthIn.</t>
  </si>
  <si>
    <t>No slab edge insulation</t>
  </si>
  <si>
    <t xml:space="preserve">R-5, 8 inches  </t>
  </si>
  <si>
    <t xml:space="preserve">R-7, 8 inches  </t>
  </si>
  <si>
    <t xml:space="preserve">R-10, 8 inches </t>
  </si>
  <si>
    <t xml:space="preserve">R-5, 16 inches </t>
  </si>
  <si>
    <t xml:space="preserve">R-7, 16 inches </t>
  </si>
  <si>
    <t>R-10, 16 inches</t>
  </si>
  <si>
    <t xml:space="preserve">R-5, 2 feet    </t>
  </si>
  <si>
    <t xml:space="preserve">R-7, 2 feet    </t>
  </si>
  <si>
    <t xml:space="preserve">R-10, 2 feet   </t>
  </si>
  <si>
    <t xml:space="preserve">R-5, 4 feet    </t>
  </si>
  <si>
    <t xml:space="preserve">R-7, 4 feet    </t>
  </si>
  <si>
    <t xml:space="preserve">R-10, 4 feet   </t>
  </si>
  <si>
    <t xml:space="preserve">R-15, 4 feet   </t>
  </si>
  <si>
    <t xml:space="preserve">R-20, 4 feet   </t>
  </si>
  <si>
    <t>ERROR - invalid R-value &amp; depth combination</t>
  </si>
  <si>
    <t>…Grnd</t>
  </si>
  <si>
    <t>aDbAvgYr</t>
  </si>
  <si>
    <t>aDbAvg14</t>
  </si>
  <si>
    <t>1/9/2013 - SAC</t>
  </si>
  <si>
    <t>Duct</t>
  </si>
  <si>
    <t>Flag</t>
  </si>
  <si>
    <t>Distribution Systems Look-up Table</t>
  </si>
  <si>
    <t>1/9/2013 - SAC - created initial table</t>
  </si>
  <si>
    <t>Distribution System Type</t>
  </si>
  <si>
    <t>Duct Flag (1 =&gt; always ducted / 0 =&gt; ductless / -1 =&gt; may include ducts)</t>
  </si>
  <si>
    <t xml:space="preserve">DuctsAttic - Ducts located overhead in unconditioned attic                        </t>
  </si>
  <si>
    <t xml:space="preserve">DuctsCrawl - Ducts located underfloor in unconditioned crawl space                </t>
  </si>
  <si>
    <t xml:space="preserve">DuctsCVC - Ducts located underfloor in a controlled ventilation crawl space       </t>
  </si>
  <si>
    <t xml:space="preserve">DuctsGarage - Ducts located in an unconditioned garage                            </t>
  </si>
  <si>
    <t xml:space="preserve">DuctsBasemt - Ducts located in an unconditioned basement                          </t>
  </si>
  <si>
    <t xml:space="preserve">DuctsInEx12 - Ducts located within the conditioned space (except &lt; 12 lineal ft)  </t>
  </si>
  <si>
    <t xml:space="preserve">DuctsInAll - HVAC system(s) with all HVAC ducts located in conditioned space      </t>
  </si>
  <si>
    <t xml:space="preserve">DuctsNone - Air distribution systems without ducts                                </t>
  </si>
  <si>
    <t xml:space="preserve">DuctsOutdoor - Ducts located in exposed outdoor locations                         </t>
  </si>
  <si>
    <t xml:space="preserve">Ductless-Furnaces - Heating equipment such as wall and floor furnaces             </t>
  </si>
  <si>
    <t xml:space="preserve">Ductless-Radiant - Radiant electric panels or fanless systems                     </t>
  </si>
  <si>
    <t xml:space="preserve">LowLlCod - Verified low-leakage ducts in conditioned space                        </t>
  </si>
  <si>
    <t>LowLkAH - Low-leakage air handlers (certified by CEC as &lt;= 2% leakage @ 1-inch wg)</t>
  </si>
  <si>
    <t xml:space="preserve">Baseboard - Electric or hydronic baseboards                                       </t>
  </si>
  <si>
    <t>Cooling Equipment Look-up Table</t>
  </si>
  <si>
    <t xml:space="preserve">NoCooling - No cooling equipment                                    </t>
  </si>
  <si>
    <t xml:space="preserve">SplitAirCond - Split air conditioning system                        </t>
  </si>
  <si>
    <t xml:space="preserve">PkgAirCond - Central packaged A/C system (&lt; 65 kBtuh)               </t>
  </si>
  <si>
    <t xml:space="preserve">LrgPkgAirCond - Large packaged A/C system (&gt;= 65 kBtuh)             </t>
  </si>
  <si>
    <t xml:space="preserve">RoomAirCond - Non-central room A/C system                           </t>
  </si>
  <si>
    <t xml:space="preserve">SplitHeatPump - Split heat pump system                              </t>
  </si>
  <si>
    <t xml:space="preserve">PkgHeatPump - Central single-packaged heat pump system (&lt; 65 kBtuh) </t>
  </si>
  <si>
    <t xml:space="preserve">LrgPkgHeatPump - Large packaged heat pump system (&gt;= 65 kBtuh)      </t>
  </si>
  <si>
    <t xml:space="preserve">GasCooling - Gas absorption cooling                                 </t>
  </si>
  <si>
    <t xml:space="preserve">RoomHeatPump - Room (non-central) heat pump system                  </t>
  </si>
  <si>
    <t xml:space="preserve">EvapDirect - Direct evaporative cooling system                      </t>
  </si>
  <si>
    <t xml:space="preserve">EvapIndirDirect - Indirect-direct evaporative cooling system        </t>
  </si>
  <si>
    <t xml:space="preserve">EvapIndirect - Indirect evaporative cooling system                  </t>
  </si>
  <si>
    <t xml:space="preserve">Evap/CC - Evaporatively-cooled condensers                           </t>
  </si>
  <si>
    <t xml:space="preserve">IceSAC - Ice storage air conditioning system                        </t>
  </si>
  <si>
    <t>SEER</t>
  </si>
  <si>
    <t>EER</t>
  </si>
  <si>
    <t>COP95</t>
  </si>
  <si>
    <t>PPC</t>
  </si>
  <si>
    <t>(W)</t>
  </si>
  <si>
    <t>1/9/13 - SAC - added Duct Flag and Compatible Gas &amp; Electric System columns</t>
  </si>
  <si>
    <t>Compliance 2014</t>
  </si>
  <si>
    <t>Why no properties?</t>
  </si>
  <si>
    <t>Special modelling</t>
  </si>
  <si>
    <t>StdVer</t>
  </si>
  <si>
    <t>SysType</t>
  </si>
  <si>
    <t xml:space="preserve">CntrlFurnace   </t>
  </si>
  <si>
    <t xml:space="preserve">Boiler         </t>
  </si>
  <si>
    <t xml:space="preserve">SplitHeatPump  </t>
  </si>
  <si>
    <t xml:space="preserve">PkgHeatPump    </t>
  </si>
  <si>
    <t xml:space="preserve">LrgPkgHeatPump </t>
  </si>
  <si>
    <t xml:space="preserve">RoomHeatPump   </t>
  </si>
  <si>
    <t xml:space="preserve">Electric       </t>
  </si>
  <si>
    <t xml:space="preserve">CombHydro      </t>
  </si>
  <si>
    <t>UseElec</t>
  </si>
  <si>
    <t>UseGas</t>
  </si>
  <si>
    <t>SysAvail</t>
  </si>
  <si>
    <t>DuctFlag</t>
  </si>
  <si>
    <t>1/10/13 - BAW - efficiency &amp; compatible system table revisions + addition of 2015 standard version</t>
  </si>
  <si>
    <t>Warning1</t>
  </si>
  <si>
    <t>Warning2</t>
  </si>
  <si>
    <t>AFUE is not a supported performance characteristic for this system type</t>
  </si>
  <si>
    <t>HSPF is not a supported performance characteristic for this system type</t>
  </si>
  <si>
    <t>SysAvail - (0/1) flag whether or not the system type is currently implemented in the compliance software</t>
  </si>
  <si>
    <t>DuctFlag - 1 =&gt; requires ducts / 0 =&gt; ductless / -1 =&gt; may use ducts</t>
  </si>
  <si>
    <t>UseElec - (0/1) flag whether heating system's primary fuel source is electricity</t>
  </si>
  <si>
    <t>UseGas - (0/1) flag whether heating system's primary fuel source is natural gas (or other fuel)</t>
  </si>
  <si>
    <t xml:space="preserve">StdVer - Standards Version: </t>
  </si>
  <si>
    <t>Compliance 2014:  valid through December 2014 (with current Federal Air Conditioning efficiency requirements</t>
  </si>
  <si>
    <t>Compliance 2015:  any time (with 2015 Federal Air Conditioning Requirements)  and solar credit</t>
  </si>
  <si>
    <t>SysType - Heating System Type</t>
  </si>
  <si>
    <t>AFUE - Minimum AFUE (%)</t>
  </si>
  <si>
    <t>HSPF - Minimum HSPF (ratio)</t>
  </si>
  <si>
    <t>&lt;add next data source here&gt;</t>
  </si>
  <si>
    <t>no performance standard or default efficiency defined</t>
  </si>
  <si>
    <t>IsHP</t>
  </si>
  <si>
    <t>IsHP - (0/1) flag indicating whether or not this system type is modeled as a heat pump</t>
  </si>
  <si>
    <t>1/10/13 - SAC - reformat table to new syntax, combine standard versions into single table and add SysAvail &amp; IsHP flags</t>
  </si>
  <si>
    <t xml:space="preserve">NoCooling        </t>
  </si>
  <si>
    <t xml:space="preserve">SplitAirCond     </t>
  </si>
  <si>
    <t xml:space="preserve">PkgAirCond       </t>
  </si>
  <si>
    <t xml:space="preserve">LrgPkgAirCond    </t>
  </si>
  <si>
    <t xml:space="preserve">RoomAirCond      </t>
  </si>
  <si>
    <t xml:space="preserve">SplitHeatPump    </t>
  </si>
  <si>
    <t xml:space="preserve">PkgHeatPump      </t>
  </si>
  <si>
    <t xml:space="preserve">LrgPkgHeatPump   </t>
  </si>
  <si>
    <t xml:space="preserve">GasCooling       </t>
  </si>
  <si>
    <t xml:space="preserve">RoomHeatPump     </t>
  </si>
  <si>
    <t xml:space="preserve">EvapDirect       </t>
  </si>
  <si>
    <t xml:space="preserve">EvapIndirDirect  </t>
  </si>
  <si>
    <t xml:space="preserve">EvapIndirect     </t>
  </si>
  <si>
    <t xml:space="preserve">Evap/CC          </t>
  </si>
  <si>
    <t xml:space="preserve">IceSAC           </t>
  </si>
  <si>
    <t>Warning3</t>
  </si>
  <si>
    <t>Warning4</t>
  </si>
  <si>
    <t>SEER is not a supported performance characteristic for this system type</t>
  </si>
  <si>
    <t>EER is not a supported performance characteristic for this system type</t>
  </si>
  <si>
    <t>COP95 is not a supported performance characteristic for this system type</t>
  </si>
  <si>
    <t>PPC is not a supported performance characteristic for this system type</t>
  </si>
  <si>
    <t>SEER - Cooling Efficiency</t>
  </si>
  <si>
    <t>EER - Cooling Efficiency</t>
  </si>
  <si>
    <t>COP95 - Gas Cooling Efficiency (rated COP for the gas portion)</t>
  </si>
  <si>
    <t>PPC - Gas Cooling parasitic electric energy at rated conditions (in Watts)</t>
  </si>
  <si>
    <t>SysType - Cooling System Type</t>
  </si>
  <si>
    <t>standard design</t>
  </si>
  <si>
    <t>HtgDesign - Heating Design Temperature (°F)</t>
  </si>
  <si>
    <t>DD1 - Cooling DD1 Month &amp; Day</t>
  </si>
  <si>
    <t>CD1 - Coldest Day CD1 Month &amp; Day</t>
  </si>
  <si>
    <t>HD1 - Hottest Day HD1 Month &amp; Day</t>
  </si>
  <si>
    <t>WHFan - (0/1) whole house fans required in standard design</t>
  </si>
  <si>
    <t>WHFan</t>
  </si>
  <si>
    <t>photovoltaic credit</t>
  </si>
  <si>
    <t>PVMax - Maximum percent cooling energy credit for PV</t>
  </si>
  <si>
    <t>(0 value indicates CZ's w/ NO available PV credit)</t>
  </si>
  <si>
    <t>PVRate</t>
  </si>
  <si>
    <t>PVRate - kTDV/kWdc credit for photovoltaic systems</t>
  </si>
  <si>
    <t xml:space="preserve"> (photovoltaic)</t>
  </si>
  <si>
    <t>PV Gen</t>
  </si>
  <si>
    <t>Rate</t>
  </si>
  <si>
    <t>(kTDV/kWdc)</t>
  </si>
  <si>
    <t>Max PV</t>
  </si>
  <si>
    <t>Credit</t>
  </si>
  <si>
    <t>(% clg)</t>
  </si>
  <si>
    <t>PVMax</t>
  </si>
  <si>
    <t>(source:  section 2.2.8 of 2013 Res ACM)</t>
  </si>
  <si>
    <t>2/4/13 - SAC - Revised furnace AFUE efficiency from 80 to 78 (per BAW conference call 2/4/13)</t>
  </si>
  <si>
    <t>ConstHtgSetpt</t>
  </si>
  <si>
    <t>ConstHtgSetpt - constant heating thermostat setpoint (typically only defined for Heat Pump systems / -1 =&gt; Not Used)</t>
  </si>
  <si>
    <t>5/13/13 - SAC - Toggled on 'Electric' system type and added ConstHtgSetpt column</t>
  </si>
  <si>
    <t>5/20/13 - SAC - Integrated mods from Bruce - added DuctlessHeatPump and re-defined dependents 9-10 to refer to std design for ducted &amp; ductless systems</t>
  </si>
  <si>
    <t>DuctedStdSys</t>
  </si>
  <si>
    <t>DuctlessStdSys</t>
  </si>
  <si>
    <t>N/A</t>
  </si>
  <si>
    <t>DuctedStdSys - standard design system if proposed system is ducted</t>
  </si>
  <si>
    <t>DuctlessStdSys - standard design system if proposed system is NOT ducted</t>
  </si>
  <si>
    <t>5/20/13 - BAW -added ductless systems, Standard Design column</t>
  </si>
  <si>
    <t>StdSystem</t>
  </si>
  <si>
    <t>StdSystem - system type used to model the standard design</t>
  </si>
  <si>
    <t>Whether or not (1/0) multi-speed compressor is an option</t>
  </si>
  <si>
    <t>Need Std Design system col (especially for no cooling)</t>
  </si>
  <si>
    <t>8/6/13 - SAC - added Show Multi-Speed Compressor column</t>
  </si>
  <si>
    <t>ShowMultSpd</t>
  </si>
  <si>
    <t>Show</t>
  </si>
  <si>
    <t>IsZonal</t>
  </si>
  <si>
    <t>8/6/13 - SAC - added Show IsZonal column</t>
  </si>
  <si>
    <t>Flag determining whether or not the IsZonal checkbox should be displayed in the UI</t>
  </si>
  <si>
    <t>9/3/2013 - MJB turned on more SysAvail options</t>
  </si>
  <si>
    <t>9/8/13 - SAC - Integrated mods from Martha - toggling on various heating system types</t>
  </si>
  <si>
    <t>SEERValid</t>
  </si>
  <si>
    <t>SEERValid - (0/1) flag indicating whether or not the SEER data is valid for the corresponding system type</t>
  </si>
  <si>
    <t>EERValid</t>
  </si>
  <si>
    <t>EERValid - (0/1) flag indicating whether or not the EER data is valid for the corresponding system type</t>
  </si>
  <si>
    <t>12/6/2013 - SAC - added SEERValid &amp; EERValid columns</t>
  </si>
  <si>
    <t>12/9/13 - MJB - efficiency updates for Electric system</t>
  </si>
  <si>
    <t>12/9/13 - specification of standard systems for Evap systems</t>
  </si>
  <si>
    <t>AFUEValid</t>
  </si>
  <si>
    <t>HSPFValid</t>
  </si>
  <si>
    <t>AFUEValid - (0/1) flag indicating whether or not the AFUE data is valid for the corresponding system type</t>
  </si>
  <si>
    <t>HSPFValid - (0/1) flag indicating whether or not the HSPF data is valid for the corresponding system type</t>
  </si>
  <si>
    <t>12/11/2013 - SAC - added AFUEValid &amp; HSPFValid columns</t>
  </si>
  <si>
    <t>AltUfactor - Max Window Ufactor for Alterations</t>
  </si>
  <si>
    <t>AltSHGC - Max Window SHGC for Alterations</t>
  </si>
  <si>
    <t>AltUfactor</t>
  </si>
  <si>
    <t>AltSHGC</t>
  </si>
  <si>
    <t>1/18/2014 - mjb - added Ufactor and SHGC for Alteration Std Design</t>
  </si>
  <si>
    <t>LayerSymVal</t>
  </si>
  <si>
    <t>Material Library look-up table</t>
  </si>
  <si>
    <t>Bruce Wilcox - 2/12 | 2/28/14 | 3/7/14 … (and noted below)</t>
  </si>
  <si>
    <t>LayerSymVal - numeric value that maps to Mat library entries</t>
  </si>
  <si>
    <t>MatName</t>
  </si>
  <si>
    <t>R1 Sheathing</t>
  </si>
  <si>
    <t>R2 Sheathing</t>
  </si>
  <si>
    <t>R3 Sheathing</t>
  </si>
  <si>
    <t>R4 Sheathing</t>
  </si>
  <si>
    <t>R5 Sheathing</t>
  </si>
  <si>
    <t>R6 Sheathing</t>
  </si>
  <si>
    <t>R7 Sheathing</t>
  </si>
  <si>
    <t>R8 Sheathing</t>
  </si>
  <si>
    <t>R9 Sheathing</t>
  </si>
  <si>
    <t>R10 Sheathing</t>
  </si>
  <si>
    <t>R11 Sheathing</t>
  </si>
  <si>
    <t>R12 Sheathing</t>
  </si>
  <si>
    <t>Gypsum Board</t>
  </si>
  <si>
    <t>Wood layer</t>
  </si>
  <si>
    <t>R4 Synth Stucco</t>
  </si>
  <si>
    <t>3 Coat Stucco</t>
  </si>
  <si>
    <t>Carpet</t>
  </si>
  <si>
    <t>SoftWood</t>
  </si>
  <si>
    <t>Concrete</t>
  </si>
  <si>
    <t>Hardwood</t>
  </si>
  <si>
    <t>FloorTile</t>
  </si>
  <si>
    <t>FloorVinyl</t>
  </si>
  <si>
    <t>Brick</t>
  </si>
  <si>
    <t>Light Roof</t>
  </si>
  <si>
    <t>5 PSF Roof</t>
  </si>
  <si>
    <t>10 PSF Roof</t>
  </si>
  <si>
    <t>15 PSF Roof</t>
  </si>
  <si>
    <t>25 PSF Roof</t>
  </si>
  <si>
    <t>TileGap</t>
  </si>
  <si>
    <t>SlabOnGrade</t>
  </si>
  <si>
    <t>Earth</t>
  </si>
  <si>
    <t>Crawl</t>
  </si>
  <si>
    <t>VertWallCavity</t>
  </si>
  <si>
    <t>12 in LW CMU Solid Grout</t>
  </si>
  <si>
    <t>12 in MW CMU Solid Grout</t>
  </si>
  <si>
    <t>12 in NW CMU Solid Grout</t>
  </si>
  <si>
    <t>12 in LW CMU Empty</t>
  </si>
  <si>
    <t>12 in MW CMU Empty</t>
  </si>
  <si>
    <t>12 in NW CMU Empty</t>
  </si>
  <si>
    <t>12 in LW CMU Insulated</t>
  </si>
  <si>
    <t>12 in MW CMU Insulated</t>
  </si>
  <si>
    <t>12 in NW CMU Insulated</t>
  </si>
  <si>
    <t>10 in LW CMU Solid Grout</t>
  </si>
  <si>
    <t>10 in MW CMU Solid Grout</t>
  </si>
  <si>
    <t>10 in NW CMU Solid Grout</t>
  </si>
  <si>
    <t>10 in LW CMU Empty</t>
  </si>
  <si>
    <t>10 in MW CMU Empty</t>
  </si>
  <si>
    <t>10 in NW CMU Empty</t>
  </si>
  <si>
    <t>10 in LW CMU Insulated</t>
  </si>
  <si>
    <t>10 in MW CMU Insulated</t>
  </si>
  <si>
    <t>10 in NW CMU Insulated</t>
  </si>
  <si>
    <t>8 in LW CMU Solid Grout</t>
  </si>
  <si>
    <t>8 in MW CMU Solid Grout</t>
  </si>
  <si>
    <t>8 in NW CMU Solid Grout</t>
  </si>
  <si>
    <t>8 in Clay Unit Solid Grout</t>
  </si>
  <si>
    <t>8 in LW CMU Empty</t>
  </si>
  <si>
    <t>8 in MW CMU Empty</t>
  </si>
  <si>
    <t>8 in NW CMU Empty</t>
  </si>
  <si>
    <t>8 in Clay Unit Empty</t>
  </si>
  <si>
    <t>8 in LW CMU Insulated</t>
  </si>
  <si>
    <t>8 in MW CMU Insulated</t>
  </si>
  <si>
    <t>8 in NW CMU Insulated</t>
  </si>
  <si>
    <t>8 in Clay Unit Insulated</t>
  </si>
  <si>
    <t>6 in LW CMU Solid Grout</t>
  </si>
  <si>
    <t>6 in MW CMU Solid Grout</t>
  </si>
  <si>
    <t>6 in NW CMU Solid Grout</t>
  </si>
  <si>
    <t>6 in Clay Unit Solid Grout</t>
  </si>
  <si>
    <t>6 in LW CMU Empty</t>
  </si>
  <si>
    <t>6 in MW CMU Empty</t>
  </si>
  <si>
    <t>6 in NW CMU Empty</t>
  </si>
  <si>
    <t>6 in Clay Unit Empty</t>
  </si>
  <si>
    <t>6 in LW CMU Insulated</t>
  </si>
  <si>
    <t>6 in MW CMU Insulated</t>
  </si>
  <si>
    <t>6 in NW CMU Insulated</t>
  </si>
  <si>
    <t>6 in Clay Unit Insulated</t>
  </si>
  <si>
    <t>LW CMU Solid Grout</t>
  </si>
  <si>
    <t>MW CMU Solid Grout</t>
  </si>
  <si>
    <t>NW CMU Solid Grout</t>
  </si>
  <si>
    <t>LW CMU Empty</t>
  </si>
  <si>
    <t>MW CMU Empty</t>
  </si>
  <si>
    <t>NW CMU Empty</t>
  </si>
  <si>
    <t>LW CMU Insulated</t>
  </si>
  <si>
    <t>MW CMU Insulated</t>
  </si>
  <si>
    <t>NW CMU Insulated</t>
  </si>
  <si>
    <t>Clay Unit Solid Grout</t>
  </si>
  <si>
    <t>Clay Unit Empty</t>
  </si>
  <si>
    <t>Clay Unit Insulated</t>
  </si>
  <si>
    <t>HaveEntry</t>
  </si>
  <si>
    <t>*</t>
  </si>
  <si>
    <t>no entry</t>
  </si>
  <si>
    <t>HaveEntry - 0/1 boolean indicating a valid Mat library entry</t>
  </si>
  <si>
    <t>MatName - name of Mat library item to be used in simulations</t>
  </si>
  <si>
    <t>Adobe</t>
  </si>
  <si>
    <t>Logs</t>
  </si>
  <si>
    <t>16 in. StrawBale</t>
  </si>
  <si>
    <t>SIPSskin</t>
  </si>
  <si>
    <t>PropEqStd</t>
  </si>
  <si>
    <t>PropEqStd - flag indicating that the proposed design system is to be setup/modeled the same as its corresponding standard design system</t>
  </si>
  <si>
    <t>SAC 4/20/14 - removed from selectable options</t>
  </si>
  <si>
    <t>CanDHW</t>
  </si>
  <si>
    <t>CanDHW - (0/1) flag indicating that this equipment CAN serve as a DHW heater</t>
  </si>
  <si>
    <t>GroundSourceHeatPump</t>
  </si>
  <si>
    <t>AirToWaterHeatPump</t>
  </si>
  <si>
    <t>AirToWaterHeatPump - Air to water heat pump (able to heat DHW)</t>
  </si>
  <si>
    <t>GroundSourceHeatPump - Ground source heat pump (able to heat DHW)</t>
  </si>
  <si>
    <t>4/20/14 - SAC - added CanDHW &amp; PropEqStd columns and also the new AirToWaterHeatPump &amp; GroundSourceHeatPump equipment types</t>
  </si>
  <si>
    <t>4/22/14 - SAC - added PropEqStd column and also the new AirToWaterHeatPump &amp; GroundSourceHeatPump equipment types</t>
  </si>
  <si>
    <t>4/30/14 - SAC - modified rules to create sheating layers dynamically (as opposed to via library imports)</t>
  </si>
  <si>
    <t>3/12/2014 - SAC - created initial table - ported from rule switch statements to table w/ addition of hollow masonry unit selections</t>
  </si>
  <si>
    <t>7/11/2014 - mjb - added Skylt Ufactor and SHGC for Alteration Std Design</t>
  </si>
  <si>
    <t>AltSkyUfactor - Max Skylight Ufactor for Alterations</t>
  </si>
  <si>
    <t>AltSkySHGC - Max Skylight SHGC for Alterations</t>
  </si>
  <si>
    <t>AltSkyUfactor</t>
  </si>
  <si>
    <t>AltSkySHGC</t>
  </si>
  <si>
    <t xml:space="preserve">EvapCondenser    </t>
  </si>
  <si>
    <t>EvapCondenser - Evaporatively-cooled condenser for split AC systems</t>
  </si>
  <si>
    <t>MJB 7/28/14 - added option</t>
  </si>
  <si>
    <t xml:space="preserve">7/28/14 - MJB - added EvapCondenser option </t>
  </si>
  <si>
    <t>FloorFurnace</t>
  </si>
  <si>
    <t>RoomHeater</t>
  </si>
  <si>
    <t>WallFurnaceFan</t>
  </si>
  <si>
    <t>WallFurnaceGravity</t>
  </si>
  <si>
    <t>11/17/14 - mjb - added Ceiling and Floor Std Design Insulation Rval</t>
  </si>
  <si>
    <t>CeilIns - CavityLayer insulation of CeilingBelowAttic</t>
  </si>
  <si>
    <t>FloorIns - Cavity Layer insulation of ExtFloor and FloorOverCrawl - Raised Floor</t>
  </si>
  <si>
    <t>ConcFloorIns - Cavity Layer insulation of ExtFloor and FloorOverCrawl - Concrete Raised</t>
  </si>
  <si>
    <t>CeilIns</t>
  </si>
  <si>
    <t>FloorIns</t>
  </si>
  <si>
    <t>ConcFloorIns</t>
  </si>
  <si>
    <t xml:space="preserve"> Jul 27</t>
  </si>
  <si>
    <t xml:space="preserve"> Jun 30</t>
  </si>
  <si>
    <t xml:space="preserve"> Sep 23</t>
  </si>
  <si>
    <t xml:space="preserve"> Jul 31</t>
  </si>
  <si>
    <t xml:space="preserve"> Oct 06</t>
  </si>
  <si>
    <t xml:space="preserve"> Jul 15</t>
  </si>
  <si>
    <t xml:space="preserve"> Sep 22</t>
  </si>
  <si>
    <t xml:space="preserve"> Sep 02</t>
  </si>
  <si>
    <t xml:space="preserve"> Aug 07</t>
  </si>
  <si>
    <t xml:space="preserve"> Sep 24</t>
  </si>
  <si>
    <t xml:space="preserve"> Jul 23</t>
  </si>
  <si>
    <t xml:space="preserve"> Aug 11</t>
  </si>
  <si>
    <t xml:space="preserve"> Aug 27</t>
  </si>
  <si>
    <t xml:space="preserve"> Sep 18</t>
  </si>
  <si>
    <t xml:space="preserve"> Feb 09</t>
  </si>
  <si>
    <t xml:space="preserve"> Jul 07</t>
  </si>
  <si>
    <t xml:space="preserve"> Dec 04</t>
  </si>
  <si>
    <t xml:space="preserve"> Jul 09</t>
  </si>
  <si>
    <t xml:space="preserve"> Jan 04</t>
  </si>
  <si>
    <t xml:space="preserve"> Nov 29</t>
  </si>
  <si>
    <t xml:space="preserve"> Oct 05</t>
  </si>
  <si>
    <t xml:space="preserve"> Dec 03</t>
  </si>
  <si>
    <t xml:space="preserve"> Sep 01</t>
  </si>
  <si>
    <t xml:space="preserve"> Nov 30</t>
  </si>
  <si>
    <t xml:space="preserve"> Dec 01</t>
  </si>
  <si>
    <t xml:space="preserve"> Jul 10</t>
  </si>
  <si>
    <t xml:space="preserve"> Jan 03</t>
  </si>
  <si>
    <t xml:space="preserve"> Jul 12</t>
  </si>
  <si>
    <t>StdMassExtWallCons</t>
  </si>
  <si>
    <t>T24-2013 ExtWall 6in Conc R13</t>
  </si>
  <si>
    <t>T24-2013 ExtWall 6in Conc R17</t>
  </si>
  <si>
    <t>11/22/2014 - SAC</t>
  </si>
  <si>
    <t>StdMassUndWallCons</t>
  </si>
  <si>
    <t>T24-2013 UndWall 6in Conc R13</t>
  </si>
  <si>
    <t>T24-2013 UndWall 6in Conc R15</t>
  </si>
  <si>
    <t>StdMassUndWallCons - construction used to model std design underground mass walls</t>
  </si>
  <si>
    <t>StdMassExtWallCons - construction used to model std design exterior mass walls</t>
  </si>
  <si>
    <t>11/22/14 - SAC - added StdMassExtWallCons &amp; StdMassUndWallCons</t>
  </si>
  <si>
    <t>1/13/15 - mjb - removed dependents no longer used here - see CAClimateZoneCodeBaselines</t>
  </si>
  <si>
    <t>CodeBase</t>
  </si>
  <si>
    <t>; 2008 Title-24</t>
  </si>
  <si>
    <t>; 2006 IECC</t>
  </si>
  <si>
    <t>1/26/15 - MJB added rows for other Standards - e.g. 2008 Title-24 and 2006 IECC</t>
  </si>
  <si>
    <t>CodeBase - Standard or Code that should be used in the Std Design baseline</t>
  </si>
  <si>
    <t>; 2016 Title 24</t>
  </si>
  <si>
    <t>2/2/2015 - mjb - added 15024 by TREND of other 2 feet values</t>
  </si>
  <si>
    <t>R-15, 2 feet</t>
  </si>
  <si>
    <t>GHR</t>
  </si>
  <si>
    <t>ENSOPRO</t>
  </si>
  <si>
    <t>ENSOPRO PLUS</t>
  </si>
  <si>
    <t>Climate Zone-based Inlet Mains Temperature data</t>
  </si>
  <si>
    <t>7/17/15 - SAC</t>
  </si>
  <si>
    <t>Chip Barnaby - 7/17/15</t>
  </si>
  <si>
    <t>7/17/15 - SAC created table</t>
  </si>
  <si>
    <t>Inlet Mains Temperature (°F)</t>
  </si>
  <si>
    <t>Inlet</t>
  </si>
  <si>
    <t>Mains</t>
  </si>
  <si>
    <t>Temp</t>
  </si>
  <si>
    <t>InletTemp</t>
  </si>
  <si>
    <t>8/21/15 - SAC</t>
  </si>
  <si>
    <t>RACM, Appendix B, table B-6</t>
  </si>
  <si>
    <t>Climate Zone-based DHW heater air-source heat pump adjustment factors</t>
  </si>
  <si>
    <t>8/21/15 - SAC created table</t>
  </si>
  <si>
    <t>DHW air-source heat pump adjustment factors</t>
  </si>
  <si>
    <t>DHW</t>
  </si>
  <si>
    <t>ASHP</t>
  </si>
  <si>
    <t>Adj Fctr</t>
  </si>
  <si>
    <t>()</t>
  </si>
  <si>
    <t>HPAdj</t>
  </si>
  <si>
    <t>DHW tank surface area formula coefficients table</t>
  </si>
  <si>
    <t>RACM, Appendix B, table B-8</t>
  </si>
  <si>
    <t>DHW heater tank type</t>
  </si>
  <si>
    <t>Coeff E used to calculate DHW tank surface area from volume</t>
  </si>
  <si>
    <t>Coeff F used to calculate DHW tank surface area from volume</t>
  </si>
  <si>
    <t>Coeff G used to calculate DHW tank surface area from volume</t>
  </si>
  <si>
    <t>CoefE</t>
  </si>
  <si>
    <t>CoefF</t>
  </si>
  <si>
    <t>TankType</t>
  </si>
  <si>
    <t>CoefG</t>
  </si>
  <si>
    <t>boiler</t>
  </si>
  <si>
    <t xml:space="preserve">indirect           </t>
  </si>
  <si>
    <t>large storage</t>
  </si>
  <si>
    <t>Fuel</t>
  </si>
  <si>
    <t>DHW heater fuel (element type)</t>
  </si>
  <si>
    <t>Fuel (element type)</t>
  </si>
  <si>
    <t>Tank type</t>
  </si>
  <si>
    <t>Electric Resistance</t>
  </si>
  <si>
    <t>Air-Source Heat Pump</t>
  </si>
  <si>
    <t>Ground-Source Heat Pump</t>
  </si>
  <si>
    <t>(any)</t>
  </si>
  <si>
    <t>(nat gas, propane or oil)</t>
  </si>
  <si>
    <t>Storage Gas</t>
  </si>
  <si>
    <t>Large Storage Gas &amp; Indirect Gas</t>
  </si>
  <si>
    <t>Storage Electric and Heat Pumps</t>
  </si>
  <si>
    <t>Table columns</t>
  </si>
  <si>
    <t>TABLE DHWTankAreaCoefs</t>
  </si>
  <si>
    <t>Collection of DHW tables based on the Residential ACM</t>
  </si>
  <si>
    <t>Separate Tables based on topic (to minimize duplicate data)</t>
  </si>
  <si>
    <t>Created:</t>
  </si>
  <si>
    <t>10/22/15 - SAC</t>
  </si>
  <si>
    <t>Residential ACM (Alternative Calculation Method)</t>
  </si>
  <si>
    <t>(vary by individual table)</t>
  </si>
  <si>
    <t>CodeBase - year of energy standard (2013, 2016…)</t>
  </si>
  <si>
    <t>Nunit - Number of dwelling units served</t>
  </si>
  <si>
    <t>Nunit</t>
  </si>
  <si>
    <t>PipeDiam</t>
  </si>
  <si>
    <t>Res ACM DHW, related to method WH_LOOPSZ, currently App B, table B-5 for SUPPLY loop sizes</t>
  </si>
  <si>
    <t>&lt;2</t>
  </si>
  <si>
    <t>&lt;8</t>
  </si>
  <si>
    <t>&lt;21</t>
  </si>
  <si>
    <t>&lt;42</t>
  </si>
  <si>
    <t>&lt;68</t>
  </si>
  <si>
    <t>&lt;101</t>
  </si>
  <si>
    <t>&lt;145</t>
  </si>
  <si>
    <t>&lt;198</t>
  </si>
  <si>
    <t>1/6/16 - SAC - added ElecCombHydro heating system type =&gt; Combined Hydronic w/ electric storage heat source</t>
  </si>
  <si>
    <t>ElecCombHydro</t>
  </si>
  <si>
    <t>SDHVSplitHeatPump</t>
  </si>
  <si>
    <t xml:space="preserve">SDHVSplitHeatPump - Small duct, high velocity, central split heat pump           </t>
  </si>
  <si>
    <t>1/7/16 - SAC - added SDHVSplitHeatPump heating system type (tic 598)</t>
  </si>
  <si>
    <t>1/7/16 - SAC - added rows for new SDHVSplitAirCond &amp; SDHVSplitHeatPump (small duct, high velocity) systems</t>
  </si>
  <si>
    <t>SDHVSplitAirCond</t>
  </si>
  <si>
    <t xml:space="preserve">SDHVSplitAirCond - Small duct, high velocity, split A/C system                        </t>
  </si>
  <si>
    <t xml:space="preserve">SDHVSplitHeatPump - Small duct, high velocity, central split heat pump                              </t>
  </si>
  <si>
    <t>SAC 1/7/16 - added</t>
  </si>
  <si>
    <t>; RESNET2014  (based on IECC 2006)</t>
  </si>
  <si>
    <t>DuctlessVRFHeatPump</t>
  </si>
  <si>
    <t>WoodHeat</t>
  </si>
  <si>
    <t>WoodHeat - Wood heat meeting exceptional method criteria</t>
  </si>
  <si>
    <t>DuctlessVRFAirCond</t>
  </si>
  <si>
    <t>DR 8/22/16 - added</t>
  </si>
  <si>
    <t>DR 8/29/16 - revised</t>
  </si>
  <si>
    <t>DuctlessMiniSplitAirCond</t>
  </si>
  <si>
    <t>DuctlessMultiSplitAirCond</t>
  </si>
  <si>
    <t>DuctlessMiniSplitAirCond – Ductless mini-split A/C system</t>
  </si>
  <si>
    <t>DuctlessMiniSplitHeatPump – Ductless mini-split heat pump system</t>
  </si>
  <si>
    <t>DuctlessMiniSplitHeatPump</t>
  </si>
  <si>
    <t>DuctlessMultiSplitHeatPump</t>
  </si>
  <si>
    <t>DuctlessMultiSplitHeatPump - Ductless multi-split heat pump system</t>
  </si>
  <si>
    <t>DuctlessMultiSplitAirCond - Ductless multi-split A/C system</t>
  </si>
  <si>
    <t>DR 8/29/16 - added</t>
  </si>
  <si>
    <t>DuctlessVRFHeatPump - Ductless variable refrigerant flow (VRF) heat pump system</t>
  </si>
  <si>
    <t>DuctlessVRFAirCond - Ductless variable refrigerant flow (VRF) A/C system</t>
  </si>
  <si>
    <t>; 2019 Title 24</t>
  </si>
  <si>
    <t>6/23/17 - SAC - updated furnace efficiency for 2016 &amp; 2019 code vintages from 78% to 80% (due to fed std change effective Nov-16) (tic #629)</t>
  </si>
  <si>
    <t>Synthetic Stucco</t>
  </si>
  <si>
    <t>6/26/17 - SAC - added 'Synthetic Stucco'</t>
  </si>
  <si>
    <t>TABLE T24RClimateZoneDesignDay</t>
  </si>
  <si>
    <t>TABLE T24RClimateZoneInletMainsTemp</t>
  </si>
  <si>
    <t>TABLE T24RClimateZoneDHWASHPAdj</t>
  </si>
  <si>
    <t>TABLE  T24RDHW_LoopPipeSize</t>
  </si>
  <si>
    <t>TABLE T24RMatLibrary</t>
  </si>
  <si>
    <t>TABLE T24RHeatingEquipment</t>
  </si>
  <si>
    <t>TABLE T24RCoolingEquipment</t>
  </si>
  <si>
    <t>11/2/18 - SAC - added records for new VCHP (variable capacity HP) equipment</t>
  </si>
  <si>
    <t>VCHP</t>
  </si>
  <si>
    <t>VCHP - Variable Capacity Heat Pump</t>
  </si>
  <si>
    <t>SAC 11/2/18 - added</t>
  </si>
  <si>
    <t>11/13/18 - SAC - revised VCHP records to accept SEER &amp; EER (for reporting only, since not used in simulation)</t>
  </si>
  <si>
    <t>11/13/18 - SAC - revised VCHP records to accept HSPF (for reporting only, since not used in simulation)</t>
  </si>
  <si>
    <t>Distribution Systems - Buried Ducts Look-up Tables</t>
  </si>
  <si>
    <t>2019 Res Compliance Manual, chapter 4</t>
  </si>
  <si>
    <t>2016 Res ACM, section 2.4</t>
  </si>
  <si>
    <t>4/5/19 - SAC - created initial tables</t>
  </si>
  <si>
    <t>TABLE  BuriedDuctEffectiveRValue</t>
  </si>
  <si>
    <t>Material</t>
  </si>
  <si>
    <t>Fiberglass</t>
  </si>
  <si>
    <t>DuctInsul</t>
  </si>
  <si>
    <t>R-8</t>
  </si>
  <si>
    <t>DuctDiam =</t>
  </si>
  <si>
    <t>EffR</t>
  </si>
  <si>
    <t>4 in</t>
  </si>
  <si>
    <t>5 in</t>
  </si>
  <si>
    <t>6 in</t>
  </si>
  <si>
    <t>7 in</t>
  </si>
  <si>
    <t>8 in</t>
  </si>
  <si>
    <t>10 in</t>
  </si>
  <si>
    <t>12 in</t>
  </si>
  <si>
    <t>14 in</t>
  </si>
  <si>
    <t>16 in</t>
  </si>
  <si>
    <t>18 in</t>
  </si>
  <si>
    <t>20 in</t>
  </si>
  <si>
    <t>AtticInsulR</t>
  </si>
  <si>
    <t>Cellulose</t>
  </si>
  <si>
    <t>R-6</t>
  </si>
  <si>
    <t>R-4.2</t>
  </si>
  <si>
    <t>TABLE  BuriedDuctLevel</t>
  </si>
  <si>
    <t>Level</t>
  </si>
  <si>
    <t>&gt;=26</t>
  </si>
  <si>
    <t>Deeply</t>
  </si>
  <si>
    <t>&gt;=18</t>
  </si>
  <si>
    <t>Fully</t>
  </si>
  <si>
    <t>Not</t>
  </si>
  <si>
    <t>&gt;=13</t>
  </si>
  <si>
    <t>Partially</t>
  </si>
  <si>
    <t>&gt;=11</t>
  </si>
  <si>
    <t>&gt;=15</t>
  </si>
  <si>
    <t>&gt;=24</t>
  </si>
  <si>
    <t>&gt;=22</t>
  </si>
  <si>
    <t>&gt;=9</t>
  </si>
  <si>
    <t>4/17/19 - SAC - column duplication to allow for more diameter selections: new3=4 / new9=10 / new22&amp;24=20 (tic #874)</t>
  </si>
  <si>
    <t>3 in</t>
  </si>
  <si>
    <t>22 in</t>
  </si>
  <si>
    <t>24 in</t>
  </si>
  <si>
    <t>9 in</t>
  </si>
  <si>
    <t>Climate Zone-based Weather File Name Mapping</t>
  </si>
  <si>
    <t>4/21/19 - SAC - created table</t>
  </si>
  <si>
    <t>CTZ</t>
  </si>
  <si>
    <t>CTZ - two digit CTZ string (leading '0' for 1-9)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</si>
  <si>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</si>
  <si>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</si>
  <si>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</si>
  <si>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</si>
  <si>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</si>
  <si>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</si>
  <si>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</si>
  <si>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</si>
  <si>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</si>
  <si>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</si>
  <si>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12</t>
  </si>
  <si>
    <t>14</t>
  </si>
  <si>
    <t>15</t>
  </si>
  <si>
    <t>ARCATA-AP_725945S</t>
  </si>
  <si>
    <t>BLUE-CANYON-AP_725845S</t>
  </si>
  <si>
    <t>BURBANK-GLNDLE-PASAD-AP_722880S</t>
  </si>
  <si>
    <t>FRESNO-YOSEMITE-IAP_723890S</t>
  </si>
  <si>
    <t>FULLERTON-MUNI-AP_722976S</t>
  </si>
  <si>
    <t>OAKLAND-METRO-AP_724930S</t>
  </si>
  <si>
    <t>PALM-SPRINGS-IAP_722868S</t>
  </si>
  <si>
    <t>PALMDALE-AP_723820S</t>
  </si>
  <si>
    <t>RED-BLUFF-MUNI-AP_725910S</t>
  </si>
  <si>
    <t>RIVERSIDE-MUNI_722869S</t>
  </si>
  <si>
    <t>SACRAMENTO-EXECUTIVE-AP_724830S</t>
  </si>
  <si>
    <t>SAN-DIEGO-LINDBERGH-FLD_722900S</t>
  </si>
  <si>
    <t>SAN-JOSE-REID-HILLV_724946S</t>
  </si>
  <si>
    <t>SANTA-MARIA-PUBLIC-AP_723940S</t>
  </si>
  <si>
    <t>SANTA-ROSA-AP_724957S</t>
  </si>
  <si>
    <t>TORRANCE-MUNI-AP_722955S</t>
  </si>
  <si>
    <t>WSta</t>
  </si>
  <si>
    <t>TABLE T24RCZWeatherMapping</t>
  </si>
  <si>
    <t>WSta - weather station string including city &amp; station number/ID</t>
  </si>
  <si>
    <t>4/24/19 - SAC - update recently added columns (Diameters 3, 9, 22 &amp; 24) with new data from CEC-RJW supplied 4/19 (tic #874)</t>
  </si>
  <si>
    <t>; 2022 Title 24</t>
  </si>
  <si>
    <t>6/7/19 - SAC - created 2022 codebase (2023 std ver) records - copied from 2019</t>
  </si>
  <si>
    <t>&gt;= 2019</t>
  </si>
  <si>
    <t>6/7/19 - SAC - update CodeBase from 2019 to &gt;=2019 to include 2022 code</t>
  </si>
  <si>
    <t>WeatherFileSet</t>
  </si>
  <si>
    <t>6/26/19 - SAC - added new first independent WeatherFileSet and incorporated 2022 STYP20 weather data from BAW</t>
  </si>
  <si>
    <t>WeatherFileSet:  2220 (2022 STYP20 TMY weather data) vs. default (from 2013-19 stds)</t>
  </si>
  <si>
    <t>based on 2022 code STYP20 TMY weather data (from BAW 6/26/19)</t>
  </si>
  <si>
    <t>Data used in 2013-19 code analysis</t>
  </si>
  <si>
    <t xml:space="preserve"> Aug 28</t>
  </si>
  <si>
    <t xml:space="preserve"> Jan 02</t>
  </si>
  <si>
    <t xml:space="preserve"> Oct 02</t>
  </si>
  <si>
    <t xml:space="preserve"> Dec 20</t>
  </si>
  <si>
    <t xml:space="preserve"> Aug 29</t>
  </si>
  <si>
    <t xml:space="preserve"> Oct 01</t>
  </si>
  <si>
    <t xml:space="preserve"> Jan 24</t>
  </si>
  <si>
    <t xml:space="preserve"> Oct 17</t>
  </si>
  <si>
    <t xml:space="preserve"> Dec 05</t>
  </si>
  <si>
    <t xml:space="preserve"> Feb 13</t>
  </si>
  <si>
    <t xml:space="preserve"> Aug 14</t>
  </si>
  <si>
    <t xml:space="preserve"> Feb 14</t>
  </si>
  <si>
    <t xml:space="preserve"> Jul 04</t>
  </si>
  <si>
    <t xml:space="preserve"> Jun 08</t>
  </si>
  <si>
    <t xml:space="preserve"> Dec 25</t>
  </si>
  <si>
    <t xml:space="preserve"> Aug 12</t>
  </si>
  <si>
    <t xml:space="preserve"> Dec 23</t>
  </si>
  <si>
    <t xml:space="preserve"> Jun 29</t>
  </si>
  <si>
    <t xml:space="preserve"> Aug 15</t>
  </si>
  <si>
    <t>; Invalid Type</t>
  </si>
  <si>
    <t>type unknown</t>
  </si>
  <si>
    <t>invalid type</t>
  </si>
  <si>
    <t>Invalid cooling equipment type</t>
  </si>
  <si>
    <t>SetbackTstatReqd</t>
  </si>
  <si>
    <t>SetbackTstatReqd - (0/1) flag indicating whether or not a setback thermostat is required (based on Res Std section 110.2c)</t>
  </si>
  <si>
    <t>8/8/19 - SAC - added SetbackTstatReqd return value for CF1R reporting</t>
  </si>
  <si>
    <t>COP47 is not a supported performance characteristic for this system type</t>
  </si>
  <si>
    <t>6/19/20 - SAC - added several new heating system types and the COP47 column for tickets 1225, 1226, 1227 &amp; 1229</t>
  </si>
  <si>
    <t>COP47 - Coefficient of Performance (ratio)</t>
  </si>
  <si>
    <t>COP47</t>
  </si>
  <si>
    <t>PkgGasFurnace</t>
  </si>
  <si>
    <t>COP47Valid - (0/1) flag indicating whether or not the COP47 data is valid for the corresponding system type</t>
  </si>
  <si>
    <t>COP47Valid</t>
  </si>
  <si>
    <t>PkgGasFurnace - Packaged gas furnace</t>
  </si>
  <si>
    <t>WallFurnaceFan - Ductless fan forced wall furnace</t>
  </si>
  <si>
    <t>WallFurnaceGravity - Ductless gravity flowed wall furnace</t>
  </si>
  <si>
    <t>FloorFurnace - Ductless floor heating system</t>
  </si>
  <si>
    <t>PkgTermHeatPump</t>
  </si>
  <si>
    <t>SglPkgVertHeatPump</t>
  </si>
  <si>
    <t>PkgTermHeatPump - Packaged terminal heat pump (PTHP)</t>
  </si>
  <si>
    <t>SglPkgVertHeatPump - Single package vertical heat pump</t>
  </si>
  <si>
    <t>DuctedMiniSplitHeatPump</t>
  </si>
  <si>
    <t>DuctedMultiSplitHeatPump</t>
  </si>
  <si>
    <t>Ducted+DuctlessMultiSplitHeatPump</t>
  </si>
  <si>
    <t>DuctedMiniSplitHeatPump - Ducted mini-split heat pump</t>
  </si>
  <si>
    <t>DuctedMultiSplitHeatPump - Ducted multi-split heat pump</t>
  </si>
  <si>
    <t>Ducted+DuctlessMultiSplitHeatPump - Ducted+ductless multi-split heat pump</t>
  </si>
  <si>
    <t>SAC 6/19/20 (tic #1229)</t>
  </si>
  <si>
    <t>SAC 6/19/20 (tic #1225)</t>
  </si>
  <si>
    <t>SAC 6/19/20 (tic #1226)</t>
  </si>
  <si>
    <t>SAC 6/19/20 (tic #1227)</t>
  </si>
  <si>
    <t>6/19/20 - SAC - added several new Cooling system types for 2019.2.0, tickets #1225, #1226, #1227 &amp; #1229</t>
  </si>
  <si>
    <t>PkgTermAirCond</t>
  </si>
  <si>
    <t>SglPkgVertAirCond</t>
  </si>
  <si>
    <t>DuctedMiniSplitAirCond</t>
  </si>
  <si>
    <t>DuctedMultiSplitAirCond</t>
  </si>
  <si>
    <t>Ducted+DuctlessMultiSplitAirCond</t>
  </si>
  <si>
    <t>PkgTermAirCond - Packaged terminal air conditioner (PTAC)</t>
  </si>
  <si>
    <t>SglPkgVertAirCond - Single package vertical A/C system</t>
  </si>
  <si>
    <t>SAC 6/20/20</t>
  </si>
  <si>
    <t>DuctedMiniSplitAirCond - Ducted mini-split A/C system</t>
  </si>
  <si>
    <t>DuctedMultiSplitAirCond - Ducted multi-split A/C system</t>
  </si>
  <si>
    <t>Ducted+DuctlessMultiSplitAirCond - Ducted+ductless multi-split A/C system</t>
  </si>
  <si>
    <t>8/18/20 - SAC - updated default efficiencies for PkgTerm &amp; SinglePkgTerm heat pumps (tic #1003)</t>
  </si>
  <si>
    <t>8/18/20 - SAC - updated default efficiencies for PkgTerm &amp; SinglePkgTerm ACs (tic #1003)</t>
  </si>
  <si>
    <t>CEER</t>
  </si>
  <si>
    <t>CEERValid</t>
  </si>
  <si>
    <t>Warning5</t>
  </si>
  <si>
    <t>CEER is not a supported performance characteristic for this system type</t>
  </si>
  <si>
    <t>CEER - Cooling Efficiency</t>
  </si>
  <si>
    <t>CEERValid - (0/1) flag indicating whether or not the CEER data is valid for the corresponding system type</t>
  </si>
  <si>
    <t>8/19-20/20 - SAC - added CEER as new efficiency metric associated w/ RoomHP &amp; RoomAC (tic #1003)</t>
  </si>
  <si>
    <t>8/23/20 - SAC - modified PkgGasFurn system to require ducts (tic #1227)</t>
  </si>
  <si>
    <t>CathClg RadBarrier</t>
  </si>
  <si>
    <t>SAC 8/24/20 (tic #72)</t>
  </si>
  <si>
    <t>8/24/20 - SAC - added 'CathClg RadBarrier' (tic #72)</t>
  </si>
  <si>
    <t>Other Siding</t>
  </si>
  <si>
    <t>8/25/20 - SAC - added 'Other Siding' (tic #1021)</t>
  </si>
  <si>
    <t>8/28/20 - SAC</t>
  </si>
  <si>
    <t>8/28/20 - SAC - added 'CathClg NoRadBarrier' (tic #72)</t>
  </si>
  <si>
    <t>CathClg NoRadBarrier</t>
  </si>
  <si>
    <t>SAC 8/28/20 (tic #72)</t>
  </si>
  <si>
    <t>11/01/20 - SAC - added VCHP2 option</t>
  </si>
  <si>
    <t>VCHP2</t>
  </si>
  <si>
    <t>VCHP2 - Variable Capacity Heat Pump</t>
  </si>
  <si>
    <t>11/01/20 - SAC - added VCHP2</t>
  </si>
  <si>
    <t>SEER2</t>
  </si>
  <si>
    <t>EER2</t>
  </si>
  <si>
    <t>Warning6</t>
  </si>
  <si>
    <t>Warning7</t>
  </si>
  <si>
    <t>SEER2 is not a supported performance characteristic for this system type and/or code vintage</t>
  </si>
  <si>
    <t>EER2 is not a supported performance characteristic for this system type and/or code vintage</t>
  </si>
  <si>
    <t>SEER2Valid</t>
  </si>
  <si>
    <t>EER2Valid</t>
  </si>
  <si>
    <t>08/26/22 - SAC - structural table changes to accommodate SEER2 &amp; EER2 (tic #1331)</t>
  </si>
  <si>
    <t>SEER2 - Cooling Efficiency</t>
  </si>
  <si>
    <t>EER2 - Cooling Efficiency</t>
  </si>
  <si>
    <t>SEER2Valid - (0/1) flag indicating whether or not the SEER2 data is valid for the corresponding system type</t>
  </si>
  <si>
    <t>EER2Valid - (0/1) flag indicating whether or not the EER2 data is valid for the corresponding system type</t>
  </si>
  <si>
    <t>08/27/22 - SAC - added HSPF2 column &amp; updated 2022 HSPF &amp; HSPF2 data for '22 stds</t>
  </si>
  <si>
    <t>HSPF2 - Minimum HSPF2 (ratio)</t>
  </si>
  <si>
    <t>HSPF2Valid - (0/1) flag indicating whether or not the HSPF2 data is valid for the corresponding system type</t>
  </si>
  <si>
    <t>HSPF2</t>
  </si>
  <si>
    <t>HSPF2 is not a supported performance characteristic for this system type and/or code vintage</t>
  </si>
  <si>
    <t>HSPF2Valid</t>
  </si>
  <si>
    <t>08/27/22 - SAC - updated old SEER/EER data and added new SEER2, EER2 and ratios (tic #1331)</t>
  </si>
  <si>
    <t>SEER2perSEER</t>
  </si>
  <si>
    <t>EER2perEER</t>
  </si>
  <si>
    <t>SEER2perSEER - Ratio of cooling efficiencies (SEER2/SEER)</t>
  </si>
  <si>
    <t>EER2perEER - Ratio of cooling efficiencies (EER2/EER)</t>
  </si>
  <si>
    <t>08/28/22 - SAC - added SEER2/SEER and EER2/EER efficiency ratios (tic #1331)</t>
  </si>
  <si>
    <t>08/28/22 - SAC - added HSPF2/HSPF efficiency ratio (tic #1331)</t>
  </si>
  <si>
    <t>HSPF2perHSPF - Ratio of efficiencies (HSPF2/HSPF) (ratio)</t>
  </si>
  <si>
    <t>HSPF2perHSPF</t>
  </si>
  <si>
    <t>09/19/22 - SAC - added HSPF2/HSPF efficiency ratio to 2019 code vintage (based on '22) plus HSPF2 using those ratios (tic #1331)</t>
  </si>
  <si>
    <t>09/19/22 - SAC - added SEER2/SEER and EER2/EER efficiency ratios to 2019 code vintage (based on '22) plus '19 SEER2 &amp; EER2 using those ratios (tic #1331)</t>
  </si>
  <si>
    <t>09/25/22 - SAC - fixed errors in 2022 default EER2s for most system types from 10.2 (EERb) to 11.7 (tic #1331)</t>
  </si>
  <si>
    <t>11/08/22 - SAC - replaced SEER2/EER2 values in 2019 vintage to be based on '23 standard (rather than calced via multiplier)</t>
  </si>
  <si>
    <t>11/08/22 - SAC - replaced HSPF2 values in 2019 vintage to be based on '23 standard (rather than calced via multiplier)</t>
  </si>
  <si>
    <t>; 2025 Title 24</t>
  </si>
  <si>
    <t>11/12/22 - SAC - created 2025 code vint records, copied from 2022 for now</t>
  </si>
  <si>
    <t>12/11/22 - SAC - switched PropEqStd flag from 1 to 0 for AirToWaterHeatPump for 2022 &amp; 25 vintages (tic #1318)</t>
  </si>
  <si>
    <t>12/11/22 - SAC - add heat efficiency defaults for AirToWaterHeatPump consistent w/ SplitHeatPump (tic #1318)</t>
  </si>
  <si>
    <t>02/10/23 - SAC - add new records consistent w/ 2025 weather files (data from Frontier/AG)</t>
  </si>
  <si>
    <t>Bruce Wilcox - 1/4/2013, 6/26/19 &amp; 2/20/22  //  Frontier/AG - 2/10/23</t>
  </si>
  <si>
    <t>8/10/20 - SAC - updated 2022 CZ12 CD1 date from Jun 08 to Jun 29 (per request from BAW via e-mail 8/5/20)</t>
  </si>
  <si>
    <t>2/20/22 - BAW - revisions to HtgDesign temperatures and DD1 dates for 2022 analysis (related to cooling autosizing improvements)</t>
  </si>
  <si>
    <t>CDMo</t>
  </si>
  <si>
    <t>CDDay</t>
  </si>
  <si>
    <t>HDMo</t>
  </si>
  <si>
    <t>HDDay</t>
  </si>
  <si>
    <t xml:space="preserve"> Oct 14</t>
  </si>
  <si>
    <t>Sep</t>
  </si>
  <si>
    <t>25</t>
  </si>
  <si>
    <t>Jan</t>
  </si>
  <si>
    <t>based on 2025 CEC weather files</t>
  </si>
  <si>
    <t xml:space="preserve"> Jun 07</t>
  </si>
  <si>
    <t>Oct</t>
  </si>
  <si>
    <t>(grayed values no longer used in analysis)</t>
  </si>
  <si>
    <t xml:space="preserve"> Sep 17</t>
  </si>
  <si>
    <t>26</t>
  </si>
  <si>
    <t>Nov</t>
  </si>
  <si>
    <t>27</t>
  </si>
  <si>
    <t>Jun</t>
  </si>
  <si>
    <t>Dec</t>
  </si>
  <si>
    <t xml:space="preserve"> Oct 26</t>
  </si>
  <si>
    <t>Feb</t>
  </si>
  <si>
    <t>20</t>
  </si>
  <si>
    <t xml:space="preserve"> Jul 02</t>
  </si>
  <si>
    <t>Jul</t>
  </si>
  <si>
    <t xml:space="preserve"> Jul 08</t>
  </si>
  <si>
    <t xml:space="preserve"> Jul 03</t>
  </si>
  <si>
    <t>17</t>
  </si>
  <si>
    <t>Aug</t>
  </si>
  <si>
    <t>29</t>
  </si>
  <si>
    <t>03/31/23 - SAC - add new system type: HeatPumpDHWCombo - Combined Heating / DHW Heat Pump (tic #1349)</t>
  </si>
  <si>
    <t>HeatPumpDHWCombo</t>
  </si>
  <si>
    <t>HeatPumpDHWCombo - Combined Heating / DHW Heat Pump</t>
  </si>
  <si>
    <t>SAC 03/31/23 (tic #1349)</t>
  </si>
  <si>
    <t>SAC 04/02/23 (tic #1349)</t>
  </si>
  <si>
    <t>Collection of tables based related to VCHP3 Input Processing</t>
  </si>
  <si>
    <t>05/13/24 SAC</t>
  </si>
  <si>
    <t>05/13/24 SAC - created tables</t>
  </si>
  <si>
    <t>BigLadder OneDrive - NEEP-Statistical-Model</t>
  </si>
  <si>
    <t>TABLE  VCHP3_NEEPRegressions</t>
  </si>
  <si>
    <t>quantity</t>
  </si>
  <si>
    <t>slope</t>
  </si>
  <si>
    <t>intercept</t>
  </si>
  <si>
    <t>r2</t>
  </si>
  <si>
    <t>EIRr82min</t>
  </si>
  <si>
    <t>Qr95min</t>
  </si>
  <si>
    <t>COP47rated</t>
  </si>
  <si>
    <t>error</t>
  </si>
  <si>
    <t>EIR Ratio at 82F Min vs SEER2 over EER2</t>
  </si>
  <si>
    <t>Capacity Ratio at 95F Min vs SEER2 over EER2</t>
  </si>
  <si>
    <t>COP Rated 47F vs HSPF2</t>
  </si>
  <si>
    <t>TABLE  VCHP3_NEEPStatistics</t>
  </si>
  <si>
    <t>Qr47rated</t>
  </si>
  <si>
    <t>Qr47min</t>
  </si>
  <si>
    <t>Qr17rated</t>
  </si>
  <si>
    <t>Qr17min</t>
  </si>
  <si>
    <t>Qm5max</t>
  </si>
  <si>
    <t>Qr5rated</t>
  </si>
  <si>
    <t>Qr5min</t>
  </si>
  <si>
    <t>QmslopeLCTmax</t>
  </si>
  <si>
    <t>QmslopeLCTmin</t>
  </si>
  <si>
    <t>Qr95rated</t>
  </si>
  <si>
    <t>Qm95max</t>
  </si>
  <si>
    <t>Qm95min</t>
  </si>
  <si>
    <t>EIRr47rated</t>
  </si>
  <si>
    <t>EIRr47min</t>
  </si>
  <si>
    <t>EIRm17rated</t>
  </si>
  <si>
    <t>EIRr17rated</t>
  </si>
  <si>
    <t>EIRr17min</t>
  </si>
  <si>
    <t>EIRm5max</t>
  </si>
  <si>
    <t>EIRr5rated</t>
  </si>
  <si>
    <t>EIRr5min</t>
  </si>
  <si>
    <t>EIRmslopeLCTmax</t>
  </si>
  <si>
    <t>EIRmslopeLCTmin</t>
  </si>
  <si>
    <t>EIRr95rated</t>
  </si>
  <si>
    <t>EIRm95max</t>
  </si>
  <si>
    <t>EIRm95min</t>
  </si>
  <si>
    <t>mean</t>
  </si>
  <si>
    <t>Capacity Ratio at 47°F Rated</t>
  </si>
  <si>
    <t>Capacity Ratio at 47°F Min</t>
  </si>
  <si>
    <t>Capacity Ratio at 17°F Rated</t>
  </si>
  <si>
    <t>Capacity Ratio at 17°F Min</t>
  </si>
  <si>
    <t>Capacity Ratio at 5°F Rated</t>
  </si>
  <si>
    <t>Capacity Ratio at 5°F Min</t>
  </si>
  <si>
    <t>Capacity Ratio at 95°F Rated</t>
  </si>
  <si>
    <t>Capacity Ratio at 95°F Min</t>
  </si>
  <si>
    <t>Capacity Ratio at 82°F Min</t>
  </si>
  <si>
    <t>Capacity Maintenance at 17°F Max</t>
  </si>
  <si>
    <t>Capacity Maintenance at 17°F Rated</t>
  </si>
  <si>
    <t>Capacity Maintenance at 17°F Min</t>
  </si>
  <si>
    <t>Capacity Maintenance at 5°F Max</t>
  </si>
  <si>
    <t>Capacity Maintenance at 5°F Rated</t>
  </si>
  <si>
    <t>Capacity Maintenance at 5°F Min</t>
  </si>
  <si>
    <t>Capacity Maintenance Slope at LCT°F Max</t>
  </si>
  <si>
    <t>Capacity Maintenance Slope at LCT°F Min</t>
  </si>
  <si>
    <t>Capacity Maintenance at 95°F Max</t>
  </si>
  <si>
    <t>Capacity Maintenance at 95°F Min</t>
  </si>
  <si>
    <t>Capacity Normalized 47°F Max</t>
  </si>
  <si>
    <t>Capacity Normalized 47°F Min</t>
  </si>
  <si>
    <t>Capacity Normalized 17°F Max</t>
  </si>
  <si>
    <t>Capacity Normalized 17°F Rated</t>
  </si>
  <si>
    <t>Capacity Normalized 17°F Min</t>
  </si>
  <si>
    <t>Capacity Normalized 5°F Max</t>
  </si>
  <si>
    <t>Capacity Normalized 5°F Rated</t>
  </si>
  <si>
    <t>Capacity Normalized 5°F Min</t>
  </si>
  <si>
    <t>Capacity Normalized 95°F Max</t>
  </si>
  <si>
    <t>Capacity Normalized 95°F Min</t>
  </si>
  <si>
    <t>Capacity Normalized 82°F Max</t>
  </si>
  <si>
    <t>Capacity Normalized 82°F Min</t>
  </si>
  <si>
    <t>COP Ratio at 47°F Rated</t>
  </si>
  <si>
    <t>COP Ratio at 47°F Min</t>
  </si>
  <si>
    <t>COP Ratio at 17°F Rated</t>
  </si>
  <si>
    <t>COP Ratio at 17°F Min</t>
  </si>
  <si>
    <t>COP Ratio at 5°F Rated</t>
  </si>
  <si>
    <t>COP Ratio at 5°F Min</t>
  </si>
  <si>
    <t>COP Ratio at 95°F Rated</t>
  </si>
  <si>
    <t>COP Ratio at 95°F Min</t>
  </si>
  <si>
    <t>COP Ratio at 82°F Min</t>
  </si>
  <si>
    <t>COP Maintenance at 17°F Max</t>
  </si>
  <si>
    <t>COP Maintenance at 17°F Rated</t>
  </si>
  <si>
    <t>COP Maintenance at 17°F Min</t>
  </si>
  <si>
    <t>COP Maintenance at 5°F Max</t>
  </si>
  <si>
    <t>COP Maintenance at 5°F Rated</t>
  </si>
  <si>
    <t>COP Maintenance at 5°F Min</t>
  </si>
  <si>
    <t>COP Maintenance Slope at LCT°F Max</t>
  </si>
  <si>
    <t>COP Maintenance Slope at LCT°F Min</t>
  </si>
  <si>
    <t>COP Maintenance at 95°F Max</t>
  </si>
  <si>
    <t>COP Maintenance at 95°F Min</t>
  </si>
  <si>
    <t>COP Normalized 47°F Max</t>
  </si>
  <si>
    <t>COP Normalized 47°F Min</t>
  </si>
  <si>
    <t>COP Normalized 17°F Max</t>
  </si>
  <si>
    <t>COP Normalized 17°F Rated</t>
  </si>
  <si>
    <t>COP Normalized 17°F Min</t>
  </si>
  <si>
    <t>COP Normalized 5°F Max</t>
  </si>
  <si>
    <t>COP Normalized 5°F Rated</t>
  </si>
  <si>
    <t>COP Normalized 5°F Min</t>
  </si>
  <si>
    <t>COP Normalized 95°F Max</t>
  </si>
  <si>
    <t>COP Normalized 95°F Min</t>
  </si>
  <si>
    <t>COP Normalized 82°F Max</t>
  </si>
  <si>
    <t>COP Normalized 82°F Min</t>
  </si>
  <si>
    <t>Input Power Ratio at 47°F Rated</t>
  </si>
  <si>
    <t>Input Power Ratio at 47°F Min</t>
  </si>
  <si>
    <t>Input Power Ratio at 17°F Rated</t>
  </si>
  <si>
    <t>Input Power Ratio at 17°F Min</t>
  </si>
  <si>
    <t>Input Power Ratio at 5°F Rated</t>
  </si>
  <si>
    <t>Input Power Ratio at 5°F Min</t>
  </si>
  <si>
    <t>Input Power Ratio at 95°F Rated</t>
  </si>
  <si>
    <t>Input Power Ratio at 95°F Min</t>
  </si>
  <si>
    <t>Input Power Ratio at 82°F Min</t>
  </si>
  <si>
    <t>Input Power Maintenance at 17°F Max</t>
  </si>
  <si>
    <t>Input Power Maintenance at 17°F Rated</t>
  </si>
  <si>
    <t>Input Power Maintenance at 17°F Min</t>
  </si>
  <si>
    <t>Input Power Maintenance at 5°F Max</t>
  </si>
  <si>
    <t>Input Power Maintenance at 5°F Rated</t>
  </si>
  <si>
    <t>Input Power Maintenance at 5°F Min</t>
  </si>
  <si>
    <t>Input Power Maintenance Slope at LCT°F Max</t>
  </si>
  <si>
    <t>Input Power Maintenance Slope at LCT°F Min</t>
  </si>
  <si>
    <t>Input Power Maintenance at 95°F Max</t>
  </si>
  <si>
    <t>Input Power Maintenance at 95°F Min</t>
  </si>
  <si>
    <t>Input Power Normalized 47°F Max</t>
  </si>
  <si>
    <t>Input Power Normalized 47°F Min</t>
  </si>
  <si>
    <t>Input Power Normalized 17°F Max</t>
  </si>
  <si>
    <t>Input Power Normalized 17°F Rated</t>
  </si>
  <si>
    <t>Input Power Normalized 17°F Min</t>
  </si>
  <si>
    <t>Input Power Normalized 5°F Max</t>
  </si>
  <si>
    <t>Input Power Normalized 5°F Rated</t>
  </si>
  <si>
    <t>Input Power Normalized 5°F Min</t>
  </si>
  <si>
    <t>Input Power Normalized 95°F Max</t>
  </si>
  <si>
    <t>Input Power Normalized 95°F Min</t>
  </si>
  <si>
    <t>Input Power Normalized 82°F Max</t>
  </si>
  <si>
    <t>Input Power Normalized 82°F Min</t>
  </si>
  <si>
    <t>LCT</t>
  </si>
  <si>
    <t>EIR Ratio at 47°F Rated</t>
  </si>
  <si>
    <t>EIR Ratio at 47°F Min</t>
  </si>
  <si>
    <t>EIR Ratio at 17°F Rated</t>
  </si>
  <si>
    <t>EIR Ratio at 17°F Min</t>
  </si>
  <si>
    <t>EIR Ratio at 5°F Rated</t>
  </si>
  <si>
    <t>EIR Ratio at 5°F Min</t>
  </si>
  <si>
    <t>EIR Ratio at 95°F Rated</t>
  </si>
  <si>
    <t>EIR Ratio at 95°F Min</t>
  </si>
  <si>
    <t>EIR Ratio at 82°F Min</t>
  </si>
  <si>
    <t>EIR Maintenance at 17°F Max</t>
  </si>
  <si>
    <t>EIR Maintenance at 17°F Rated</t>
  </si>
  <si>
    <t>EIR Maintenance at 17°F Min</t>
  </si>
  <si>
    <t>EIR Maintenance at 5°F Max</t>
  </si>
  <si>
    <t>EIR Maintenance at 5°F Rated</t>
  </si>
  <si>
    <t>EIR Maintenance at 5°F Min</t>
  </si>
  <si>
    <t>EIR Maintenance Slope at LCT°F Max</t>
  </si>
  <si>
    <t>EIR Maintenance Slope at LCT°F Min</t>
  </si>
  <si>
    <t>EIR Maintenance at 95°F Max</t>
  </si>
  <si>
    <t>EIR Maintenance at 95°F Min</t>
  </si>
  <si>
    <t>BEMBase Properties</t>
  </si>
  <si>
    <t>OTHERS</t>
  </si>
  <si>
    <t>Qr82min</t>
  </si>
  <si>
    <t>Qm17max</t>
  </si>
  <si>
    <t>Qm17rated</t>
  </si>
  <si>
    <t>Qm17min</t>
  </si>
  <si>
    <t>Qm5rated</t>
  </si>
  <si>
    <t>Qm5min</t>
  </si>
  <si>
    <t>Qn47max</t>
  </si>
  <si>
    <t>Qn</t>
  </si>
  <si>
    <t>COPr</t>
  </si>
  <si>
    <t>COPm</t>
  </si>
  <si>
    <t>COPn</t>
  </si>
  <si>
    <t>IPr</t>
  </si>
  <si>
    <t>IPm</t>
  </si>
  <si>
    <t>IPn</t>
  </si>
  <si>
    <t>EIRr</t>
  </si>
  <si>
    <t>EIRm</t>
  </si>
  <si>
    <t>max</t>
  </si>
  <si>
    <t>min</t>
  </si>
  <si>
    <t>rated</t>
  </si>
  <si>
    <t>slopeLCT</t>
  </si>
  <si>
    <t>Qn47min</t>
  </si>
  <si>
    <t>Qn17max</t>
  </si>
  <si>
    <t>Qn17rated</t>
  </si>
  <si>
    <t>Qn17min</t>
  </si>
  <si>
    <t>Qn5max</t>
  </si>
  <si>
    <t>Qn5rated</t>
  </si>
  <si>
    <t>Qn5min</t>
  </si>
  <si>
    <t>Qn95max</t>
  </si>
  <si>
    <t>Qn95min</t>
  </si>
  <si>
    <t>Qn82max</t>
  </si>
  <si>
    <t>Qn82min</t>
  </si>
  <si>
    <t>COPr47rated</t>
  </si>
  <si>
    <t>COPr47min</t>
  </si>
  <si>
    <t>COPr17rated</t>
  </si>
  <si>
    <t>COPr17min</t>
  </si>
  <si>
    <t>COPr5rated</t>
  </si>
  <si>
    <t>COPr5min</t>
  </si>
  <si>
    <t>COPr95rated</t>
  </si>
  <si>
    <t>COPr95min</t>
  </si>
  <si>
    <t>COPr82min</t>
  </si>
  <si>
    <t>COPm17max</t>
  </si>
  <si>
    <t>COPm17rated</t>
  </si>
  <si>
    <t>COPm17min</t>
  </si>
  <si>
    <t>COPm5max</t>
  </si>
  <si>
    <t>COPm5rated</t>
  </si>
  <si>
    <t>COPm5min</t>
  </si>
  <si>
    <t>COPmslopeLCTmax</t>
  </si>
  <si>
    <t>COPmslopeLCTmin</t>
  </si>
  <si>
    <t>COPm95max</t>
  </si>
  <si>
    <t>COPm95min</t>
  </si>
  <si>
    <t>COPn47max</t>
  </si>
  <si>
    <t>COPn47min</t>
  </si>
  <si>
    <t>COPn17max</t>
  </si>
  <si>
    <t>COPn17rated</t>
  </si>
  <si>
    <t>COPn17min</t>
  </si>
  <si>
    <t>COPn5max</t>
  </si>
  <si>
    <t>COPn5rated</t>
  </si>
  <si>
    <t>COPn5min</t>
  </si>
  <si>
    <t>COPn95max</t>
  </si>
  <si>
    <t>COPn95min</t>
  </si>
  <si>
    <t>COPn82max</t>
  </si>
  <si>
    <t>COPn82min</t>
  </si>
  <si>
    <t>IPr47rated</t>
  </si>
  <si>
    <t>IPr47min</t>
  </si>
  <si>
    <t>IPr17rated</t>
  </si>
  <si>
    <t>IPr17min</t>
  </si>
  <si>
    <t>IPr5rated</t>
  </si>
  <si>
    <t>IPr5min</t>
  </si>
  <si>
    <t>IPr95rated</t>
  </si>
  <si>
    <t>IPr95min</t>
  </si>
  <si>
    <t>IPr82min</t>
  </si>
  <si>
    <t>IPm17max</t>
  </si>
  <si>
    <t>IPm17rated</t>
  </si>
  <si>
    <t>IPm17min</t>
  </si>
  <si>
    <t>IPm5max</t>
  </si>
  <si>
    <t>IPm5rated</t>
  </si>
  <si>
    <t>IPm5min</t>
  </si>
  <si>
    <t>IPmslopeLCTmax</t>
  </si>
  <si>
    <t>IPmslopeLCTmin</t>
  </si>
  <si>
    <t>IPm95max</t>
  </si>
  <si>
    <t>IPm95min</t>
  </si>
  <si>
    <t>IPn47max</t>
  </si>
  <si>
    <t>IPn47min</t>
  </si>
  <si>
    <t>IPn17max</t>
  </si>
  <si>
    <t>IPn17rated</t>
  </si>
  <si>
    <t>IPn17min</t>
  </si>
  <si>
    <t>IPn5max</t>
  </si>
  <si>
    <t>IPn5rated</t>
  </si>
  <si>
    <t>IPn5min</t>
  </si>
  <si>
    <t>IPn95max</t>
  </si>
  <si>
    <t>IPn95min</t>
  </si>
  <si>
    <t>IPn82max</t>
  </si>
  <si>
    <t>IPn82min</t>
  </si>
  <si>
    <t>EIRr95min</t>
  </si>
  <si>
    <t>EIRm17max</t>
  </si>
  <si>
    <t>EIRm17min</t>
  </si>
  <si>
    <t>EIRm5rated</t>
  </si>
  <si>
    <t>EIRm5min</t>
  </si>
  <si>
    <t>(shaded not (yet) BEMBase properties)</t>
  </si>
  <si>
    <t>05/16/24 - SAC - add new system type: VCHP3 (tic #1379)</t>
  </si>
  <si>
    <t>VCHP3</t>
  </si>
  <si>
    <t>05/16/24 - SAC (tic #1379)</t>
  </si>
  <si>
    <t>HeatPumpV3</t>
  </si>
  <si>
    <t>07/24/24 SAC - added 2D interpolation tables</t>
  </si>
  <si>
    <t>TABLE  HtPump3_Interp_2Speed_Low_SEER2EER2ratio_SEER2</t>
  </si>
  <si>
    <t>TABLE  HtPump3_Interp_VarSpeed_Low_SEER2EER2ratio_COP</t>
  </si>
  <si>
    <t>2DInterpolate</t>
  </si>
  <si>
    <t>SEER2=</t>
  </si>
  <si>
    <t>Min</t>
  </si>
  <si>
    <t>Max</t>
  </si>
  <si>
    <t>SEER2EER2Ratio</t>
  </si>
  <si>
    <t>two</t>
  </si>
  <si>
    <t>three</t>
  </si>
  <si>
    <t>four</t>
  </si>
  <si>
    <t>one</t>
  </si>
  <si>
    <t>SEER2Limit</t>
  </si>
  <si>
    <t>testing below table:</t>
  </si>
  <si>
    <t>SEER2:</t>
  </si>
  <si>
    <t>SEER2/EER2:</t>
  </si>
  <si>
    <t>Delta Fracs</t>
  </si>
  <si>
    <t>Row Interps</t>
  </si>
  <si>
    <t>Final Result</t>
  </si>
  <si>
    <t>TABLE  HtPump3_Interp_Single_Full_HeatCapRatio_COP</t>
  </si>
  <si>
    <t>HSPF2=</t>
  </si>
  <si>
    <t>five</t>
  </si>
  <si>
    <t>HSPF2Limit</t>
  </si>
  <si>
    <t>HeatCapRatio</t>
  </si>
  <si>
    <t>TABLE  HtPump3_Interp_Two_Full_HeatCapRatio_COP</t>
  </si>
  <si>
    <t>TABLE  HtPump3_Interp_VarSpeed_Full_HeatCapRatio_COP</t>
  </si>
  <si>
    <t>Cap95ratVsEIR82</t>
  </si>
  <si>
    <t>Capacity Ratio at 95F Min vs EIR Ratio at 82F Min</t>
  </si>
  <si>
    <t>09/18/24 SAC - updated 2D interpolation tables based on latest NEEP-statistics spreadsheet (from BigLadder/NK)</t>
  </si>
  <si>
    <t>02/27/25 SAC - updated 2D interpolation tables based on latest NEEP-statistics spreadsheet (from BigLadder/NK)</t>
  </si>
  <si>
    <t>SplitAirCondPM</t>
  </si>
  <si>
    <t>SplitAirCond</t>
  </si>
  <si>
    <t>NoCooling</t>
  </si>
  <si>
    <t xml:space="preserve">SplitAirCondPM - Split air conditioning system                        </t>
  </si>
  <si>
    <t>SAC 03/05/25 (tic #1379)</t>
  </si>
  <si>
    <t>03/05/25 - SAC - add new system type: SplitAirCondPM (tic #1379)</t>
  </si>
  <si>
    <t>ARCATA</t>
  </si>
  <si>
    <t>EnergyCodeYr</t>
  </si>
  <si>
    <t>725945_ARCATA-AP</t>
  </si>
  <si>
    <t>724957_SONOMA-COUNTY-AP</t>
  </si>
  <si>
    <t>724930_METRO-OAKLAND-INTL</t>
  </si>
  <si>
    <t>723965_PASO-ROBLES-MUNICIPAL</t>
  </si>
  <si>
    <t>723940_SANTA-MARIA-AP</t>
  </si>
  <si>
    <t>722950_LOS-ANGELES-INTL</t>
  </si>
  <si>
    <t>722900_SAN-DIEGO-INTL</t>
  </si>
  <si>
    <t>722976_FULLERTON-MUNICIPAL</t>
  </si>
  <si>
    <t>722880_HOLLYWOOD-BURBANK-AP</t>
  </si>
  <si>
    <t>722869_RIVERSIDE-MUNICIPAL</t>
  </si>
  <si>
    <t>725910_RED-BLUFF-AP</t>
  </si>
  <si>
    <t>724830_SACRAMENTO-EXECUTIVE</t>
  </si>
  <si>
    <t>723890_FRESNO-YOSEMITE-INTL</t>
  </si>
  <si>
    <t>723820_PALMDALE-REGIONAL</t>
  </si>
  <si>
    <t>722868_PALM-SPRINGS-INTL</t>
  </si>
  <si>
    <t>725845_BLUE-CANYON-NYACK-AP</t>
  </si>
  <si>
    <t>SAC 11/15/22</t>
  </si>
  <si>
    <t>was previously:</t>
  </si>
  <si>
    <t>11/15/22 - SAC - added EnergyCodeYr column and 2025 code vintage records</t>
  </si>
  <si>
    <t>05/27/25 - SAC - updated 2025+ weather stations names to those consistent w/ the latest weather files</t>
  </si>
  <si>
    <t>Year of Energy Code</t>
  </si>
  <si>
    <t>SONOMA-COUNTY-AP</t>
  </si>
  <si>
    <t>OAKLAND-INTL</t>
  </si>
  <si>
    <t>PASO-ROBLES</t>
  </si>
  <si>
    <t>SANTA-MARIA</t>
  </si>
  <si>
    <t>LOS-ANGELES-INTL</t>
  </si>
  <si>
    <t>SAN-DIEGO-INTL</t>
  </si>
  <si>
    <t>FULLERTON</t>
  </si>
  <si>
    <t>HOLLYWOOD-BURBANK</t>
  </si>
  <si>
    <t>RIVERSIDE</t>
  </si>
  <si>
    <t>RED-BLUFF</t>
  </si>
  <si>
    <t>SACRAMENTO-EXECUTIVE</t>
  </si>
  <si>
    <t>FRESNO-YOSEMITE</t>
  </si>
  <si>
    <t>PALMDALE</t>
  </si>
  <si>
    <t>PALM-SPRINGS</t>
  </si>
  <si>
    <t>BLUE-CANYON</t>
  </si>
  <si>
    <t>08/26/24 - SAC - added copies of 2025 records for 2028-SSP2 &amp; 2028-SSP3 testing</t>
  </si>
  <si>
    <t>10/25/24 - SAC - added copies of 2025 records for 2028-SSP3-NPW &amp; 2028-SSP3-PW testing</t>
  </si>
  <si>
    <t>based on 2025 CEC weather files - testing of 2028-SSP2 files</t>
  </si>
  <si>
    <t>based on 2025 CEC weather files - testing of 2028-SSP3 files</t>
  </si>
  <si>
    <t>based on 2025 CEC weather files - testing of 2028-SSP3-NPW (non-population-weighted) files</t>
  </si>
  <si>
    <t>based on 2025 CEC weather files - testing of 2028-SSP3-PW (population-weighted) files</t>
  </si>
  <si>
    <t>based on 2025 CEC weather files (w/ 'Historic' 2028 LSCs)</t>
  </si>
  <si>
    <t>06/08/25 - SAC - added groups of rows for new 2028 testing options (2530: Historic 2028 LSCs, 2025 Weather -&amp;- 2840: Future 2028 LSCs/Weather)</t>
  </si>
  <si>
    <t>22</t>
  </si>
  <si>
    <t>23</t>
  </si>
  <si>
    <r>
      <t xml:space="preserve">based on </t>
    </r>
    <r>
      <rPr>
        <b/>
        <sz val="11"/>
        <color theme="1"/>
        <rFont val="Calibri"/>
        <family val="2"/>
        <scheme val="minor"/>
      </rPr>
      <t>2028-SSP3-PW</t>
    </r>
    <r>
      <rPr>
        <sz val="11"/>
        <color theme="1"/>
        <rFont val="Calibri"/>
        <family val="2"/>
        <scheme val="minor"/>
      </rPr>
      <t xml:space="preserve"> (population-weighted) weather files</t>
    </r>
  </si>
  <si>
    <t>06/09/25 - SAC - updated CD1 &amp; HD1 data for new 2028 (SSP3-PW) weather data</t>
  </si>
  <si>
    <t>09/12/25 - SAC - added DuctlessPkgHeatPump system and switched ducted/ductless, mini/multi-split &amp; VRF HPs from Prop-Eq-Std to full simulation (gh dev #458)</t>
  </si>
  <si>
    <t>DuctlessPkgHeatPump</t>
  </si>
  <si>
    <t xml:space="preserve">DuctlessPkgHeatPump - Ductless packaged heat pump          </t>
  </si>
  <si>
    <t>DuctlessPkgHeatPump - Ductless packaged heat pump</t>
  </si>
  <si>
    <t>09/15/25 - SAC</t>
  </si>
  <si>
    <t>09/15/25 - SAC - toggled off ShowMultiSpeed for PerfMap model systems and also SysAvail=0 for '22 VCHP Compliance Option system (gh dev #458)</t>
  </si>
  <si>
    <t>09/15/25 - SAC - toggled off SysAvail for '22 VCHP Compliance Option system (gh dev #458)</t>
  </si>
  <si>
    <t>NRMF 2025 ACM Table 47: HPWH System MMV (master mixing valve) Correction Factor</t>
  </si>
  <si>
    <t>TABLE  T24MFDHW_CHPWH_MMVCorrectionFactor</t>
  </si>
  <si>
    <t>SystemDescrip</t>
  </si>
  <si>
    <t>OutletReturnDT</t>
  </si>
  <si>
    <t>&lt;7</t>
  </si>
  <si>
    <t>MPassInteg</t>
  </si>
  <si>
    <t>Digital</t>
  </si>
  <si>
    <t>MMVType</t>
  </si>
  <si>
    <t>Mechanical</t>
  </si>
  <si>
    <t>CorrectFactor</t>
  </si>
  <si>
    <t>&gt;=7</t>
  </si>
  <si>
    <t>SPassPrim-PrimTank</t>
  </si>
  <si>
    <t>MPassPrim-PrimTank</t>
  </si>
  <si>
    <t>SPassPrim-SResist</t>
  </si>
  <si>
    <t>SPassPrim-Parallel</t>
  </si>
  <si>
    <t>08/01/26 - SAC - added T24MFDHW_CHPWH_MMVCorrectionFactor table (dev #942)</t>
  </si>
  <si>
    <t>&lt;2024</t>
  </si>
  <si>
    <t>08/12/26 - SAC - modifed T24RDHW_LoopPipeSize table w/ ACM AppB Table B-6 (dev #943)</t>
  </si>
  <si>
    <t>CPC_AppM</t>
  </si>
  <si>
    <t>&lt;5</t>
  </si>
  <si>
    <t>&lt;36</t>
  </si>
  <si>
    <t>CPC_AppM - whether or not pipe size based on CPC Appendix A (0) or M (1)</t>
  </si>
  <si>
    <t>SegIdx - Supply segment index (0-branch, 1-3 loop segments)  (was previously 'IsBranch' Yes/No)</t>
  </si>
  <si>
    <t>SegIdx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</si>
</sst>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[$-409]mmm\ dd;@"/>
    <numFmt numFmtId="166" formatCode="0.0000"/>
    <numFmt numFmtId="167" formatCode="mmm"/>
    <numFmt numFmtId="168" formatCode="0.000"/>
  </numFmts>
  <fonts count="30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8"/>
      <color theme="2" tint="-0.249977111117893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2"/>
      <color theme="5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hair">
        <color indexed="64"/>
      </left>
      <right/>
      <top/>
      <bottom style="hair">
        <color auto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hair">
        <color auto="1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9" fillId="7" borderId="0" applyNumberFormat="0" applyBorder="0" applyAlignment="0" applyProtection="0"/>
    <xf numFmtId="0" fontId="5" fillId="0" borderId="0"/>
    <xf numFmtId="9" fontId="5" fillId="0" borderId="0" applyFont="0" applyFill="0" applyBorder="0" applyAlignment="0" applyProtection="0"/>
  </cellStyleXfs>
  <cellXfs count="2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0" xfId="0" applyFont="1" applyAlignment="1">
      <alignment horizontal="center"/>
    </xf>
    <xf numFmtId="0" fontId="2" fillId="2" borderId="0" xfId="0" applyFont="1" applyFill="1"/>
    <xf numFmtId="0" fontId="0" fillId="0" borderId="5" xfId="0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4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0" borderId="1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165" fontId="5" fillId="0" borderId="0" xfId="0" applyNumberFormat="1" applyFont="1" applyAlignment="1">
      <alignment horizontal="center"/>
    </xf>
    <xf numFmtId="0" fontId="1" fillId="0" borderId="0" xfId="0" applyFont="1"/>
    <xf numFmtId="0" fontId="0" fillId="0" borderId="3" xfId="0" applyBorder="1"/>
    <xf numFmtId="0" fontId="6" fillId="0" borderId="1" xfId="0" applyFont="1" applyBorder="1"/>
    <xf numFmtId="0" fontId="6" fillId="0" borderId="0" xfId="0" applyFont="1"/>
    <xf numFmtId="0" fontId="0" fillId="0" borderId="12" xfId="0" applyBorder="1" applyAlignment="1">
      <alignment horizontal="center"/>
    </xf>
    <xf numFmtId="166" fontId="0" fillId="0" borderId="12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66" fontId="3" fillId="2" borderId="0" xfId="0" applyNumberFormat="1" applyFont="1" applyFill="1" applyAlignment="1">
      <alignment horizontal="center"/>
    </xf>
    <xf numFmtId="0" fontId="3" fillId="2" borderId="0" xfId="0" applyFont="1" applyFill="1"/>
    <xf numFmtId="0" fontId="7" fillId="2" borderId="0" xfId="0" applyFont="1" applyFill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3" xfId="0" applyFont="1" applyBorder="1"/>
    <xf numFmtId="0" fontId="0" fillId="0" borderId="13" xfId="0" applyBorder="1"/>
    <xf numFmtId="166" fontId="0" fillId="0" borderId="14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0" fontId="6" fillId="0" borderId="7" xfId="0" applyFont="1" applyBorder="1"/>
    <xf numFmtId="0" fontId="0" fillId="0" borderId="7" xfId="0" applyBorder="1"/>
    <xf numFmtId="0" fontId="1" fillId="0" borderId="6" xfId="0" applyFont="1" applyBorder="1" applyAlignment="1">
      <alignment horizontal="center"/>
    </xf>
    <xf numFmtId="166" fontId="0" fillId="0" borderId="15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0" fontId="8" fillId="0" borderId="0" xfId="0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0" fontId="8" fillId="0" borderId="0" xfId="0" applyFont="1"/>
    <xf numFmtId="164" fontId="0" fillId="4" borderId="0" xfId="0" applyNumberFormat="1" applyFill="1" applyAlignment="1">
      <alignment horizontal="center"/>
    </xf>
    <xf numFmtId="0" fontId="0" fillId="0" borderId="16" xfId="0" applyBorder="1"/>
    <xf numFmtId="0" fontId="1" fillId="9" borderId="0" xfId="0" applyFont="1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10" fillId="8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8" fillId="4" borderId="1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13" fillId="10" borderId="0" xfId="1" applyFont="1" applyFill="1"/>
    <xf numFmtId="0" fontId="12" fillId="10" borderId="0" xfId="1" applyFont="1" applyFill="1" applyAlignment="1">
      <alignment horizontal="center" vertical="center"/>
    </xf>
    <xf numFmtId="0" fontId="12" fillId="10" borderId="1" xfId="1" applyFont="1" applyFill="1" applyBorder="1" applyAlignment="1">
      <alignment horizontal="center" vertical="center"/>
    </xf>
    <xf numFmtId="0" fontId="12" fillId="10" borderId="5" xfId="1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0" fillId="0" borderId="6" xfId="0" applyBorder="1"/>
    <xf numFmtId="0" fontId="1" fillId="0" borderId="7" xfId="0" applyFont="1" applyBorder="1"/>
    <xf numFmtId="0" fontId="11" fillId="0" borderId="7" xfId="0" applyFont="1" applyBorder="1"/>
    <xf numFmtId="0" fontId="0" fillId="0" borderId="2" xfId="0" applyBorder="1"/>
    <xf numFmtId="0" fontId="0" fillId="0" borderId="17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2" xfId="0" applyBorder="1"/>
    <xf numFmtId="0" fontId="0" fillId="0" borderId="26" xfId="0" applyBorder="1"/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8" fillId="0" borderId="7" xfId="0" applyFont="1" applyBorder="1"/>
    <xf numFmtId="0" fontId="1" fillId="2" borderId="7" xfId="0" applyFont="1" applyFill="1" applyBorder="1"/>
    <xf numFmtId="1" fontId="8" fillId="2" borderId="7" xfId="0" applyNumberFormat="1" applyFont="1" applyFill="1" applyBorder="1"/>
    <xf numFmtId="0" fontId="8" fillId="2" borderId="7" xfId="0" applyFont="1" applyFill="1" applyBorder="1"/>
    <xf numFmtId="0" fontId="8" fillId="0" borderId="22" xfId="0" applyFont="1" applyBorder="1" applyAlignment="1">
      <alignment horizontal="center"/>
    </xf>
    <xf numFmtId="0" fontId="11" fillId="0" borderId="29" xfId="0" applyFont="1" applyBorder="1"/>
    <xf numFmtId="0" fontId="0" fillId="0" borderId="30" xfId="0" applyBorder="1"/>
    <xf numFmtId="0" fontId="11" fillId="0" borderId="31" xfId="0" applyFont="1" applyBorder="1" applyAlignment="1">
      <alignment horizontal="center"/>
    </xf>
    <xf numFmtId="0" fontId="11" fillId="0" borderId="23" xfId="0" applyFont="1" applyBorder="1" applyAlignment="1">
      <alignment horizontal="center"/>
    </xf>
    <xf numFmtId="0" fontId="11" fillId="0" borderId="11" xfId="0" applyFont="1" applyBorder="1"/>
    <xf numFmtId="0" fontId="11" fillId="0" borderId="27" xfId="0" applyFont="1" applyBorder="1" applyAlignment="1">
      <alignment horizontal="center"/>
    </xf>
    <xf numFmtId="0" fontId="5" fillId="0" borderId="30" xfId="0" applyFont="1" applyBorder="1"/>
    <xf numFmtId="0" fontId="5" fillId="0" borderId="0" xfId="0" applyFont="1"/>
    <xf numFmtId="0" fontId="5" fillId="0" borderId="9" xfId="0" applyFont="1" applyBorder="1"/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1" fillId="0" borderId="9" xfId="0" applyFont="1" applyBorder="1"/>
    <xf numFmtId="0" fontId="15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16" fillId="2" borderId="0" xfId="0" applyFont="1" applyFill="1"/>
    <xf numFmtId="1" fontId="8" fillId="6" borderId="7" xfId="0" applyNumberFormat="1" applyFont="1" applyFill="1" applyBorder="1" applyAlignment="1">
      <alignment horizontal="center"/>
    </xf>
    <xf numFmtId="0" fontId="2" fillId="0" borderId="0" xfId="0" applyFont="1"/>
    <xf numFmtId="0" fontId="8" fillId="6" borderId="7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0" fillId="2" borderId="0" xfId="0" applyFill="1"/>
    <xf numFmtId="0" fontId="8" fillId="2" borderId="0" xfId="0" applyFont="1" applyFill="1"/>
    <xf numFmtId="0" fontId="17" fillId="0" borderId="0" xfId="0" applyFont="1"/>
    <xf numFmtId="0" fontId="0" fillId="11" borderId="0" xfId="0" applyFill="1"/>
    <xf numFmtId="0" fontId="0" fillId="11" borderId="3" xfId="0" applyFill="1" applyBorder="1"/>
    <xf numFmtId="0" fontId="11" fillId="0" borderId="22" xfId="0" applyFont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11" fillId="0" borderId="26" xfId="0" applyFont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8" fillId="0" borderId="9" xfId="0" applyFont="1" applyBorder="1"/>
    <xf numFmtId="0" fontId="1" fillId="0" borderId="11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21" fillId="0" borderId="0" xfId="0" applyFont="1"/>
    <xf numFmtId="0" fontId="21" fillId="0" borderId="9" xfId="0" applyFont="1" applyBorder="1"/>
    <xf numFmtId="0" fontId="20" fillId="0" borderId="7" xfId="0" applyFont="1" applyBorder="1"/>
    <xf numFmtId="0" fontId="20" fillId="0" borderId="11" xfId="0" applyFont="1" applyBorder="1"/>
    <xf numFmtId="0" fontId="22" fillId="0" borderId="0" xfId="0" applyFont="1"/>
    <xf numFmtId="0" fontId="22" fillId="0" borderId="9" xfId="0" applyFont="1" applyBorder="1"/>
    <xf numFmtId="0" fontId="22" fillId="0" borderId="29" xfId="0" applyFont="1" applyBorder="1"/>
    <xf numFmtId="0" fontId="22" fillId="0" borderId="7" xfId="0" applyFont="1" applyBorder="1"/>
    <xf numFmtId="0" fontId="22" fillId="0" borderId="11" xfId="0" applyFont="1" applyBorder="1"/>
    <xf numFmtId="0" fontId="20" fillId="0" borderId="0" xfId="0" applyFont="1"/>
    <xf numFmtId="0" fontId="6" fillId="0" borderId="32" xfId="0" applyFont="1" applyBorder="1"/>
    <xf numFmtId="0" fontId="0" fillId="0" borderId="32" xfId="0" applyBorder="1"/>
    <xf numFmtId="0" fontId="6" fillId="0" borderId="3" xfId="0" applyFont="1" applyBorder="1" applyAlignment="1">
      <alignment horizontal="center"/>
    </xf>
    <xf numFmtId="0" fontId="6" fillId="0" borderId="3" xfId="0" applyFont="1" applyBorder="1"/>
    <xf numFmtId="0" fontId="4" fillId="1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0" borderId="30" xfId="0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25" fillId="4" borderId="3" xfId="0" applyFont="1" applyFill="1" applyBorder="1" applyAlignment="1">
      <alignment horizontal="center"/>
    </xf>
    <xf numFmtId="0" fontId="8" fillId="0" borderId="32" xfId="0" applyFont="1" applyBorder="1"/>
    <xf numFmtId="0" fontId="25" fillId="0" borderId="6" xfId="0" applyFont="1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5" fontId="5" fillId="0" borderId="32" xfId="0" applyNumberFormat="1" applyFont="1" applyBorder="1" applyAlignment="1">
      <alignment horizontal="center"/>
    </xf>
    <xf numFmtId="165" fontId="5" fillId="0" borderId="22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4" fillId="0" borderId="0" xfId="0" applyFont="1"/>
    <xf numFmtId="0" fontId="12" fillId="10" borderId="30" xfId="1" applyFont="1" applyFill="1" applyBorder="1" applyAlignment="1">
      <alignment horizontal="center" vertical="center"/>
    </xf>
    <xf numFmtId="0" fontId="13" fillId="10" borderId="30" xfId="1" applyFont="1" applyFill="1" applyBorder="1"/>
    <xf numFmtId="0" fontId="0" fillId="11" borderId="30" xfId="0" applyFill="1" applyBorder="1"/>
    <xf numFmtId="0" fontId="10" fillId="0" borderId="0" xfId="0" applyFont="1" applyAlignment="1">
      <alignment horizontal="center"/>
    </xf>
    <xf numFmtId="0" fontId="2" fillId="0" borderId="30" xfId="0" applyFont="1" applyBorder="1"/>
    <xf numFmtId="0" fontId="2" fillId="0" borderId="0" xfId="0" applyFont="1" applyAlignment="1">
      <alignment horizontal="center"/>
    </xf>
    <xf numFmtId="0" fontId="13" fillId="10" borderId="0" xfId="1" applyFont="1" applyFill="1" applyBorder="1"/>
    <xf numFmtId="0" fontId="0" fillId="8" borderId="0" xfId="0" applyFill="1"/>
    <xf numFmtId="0" fontId="8" fillId="13" borderId="0" xfId="0" applyFont="1" applyFill="1" applyAlignment="1">
      <alignment horizontal="center"/>
    </xf>
    <xf numFmtId="0" fontId="8" fillId="0" borderId="23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0" borderId="20" xfId="0" applyFont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1" xfId="0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8" fillId="14" borderId="0" xfId="0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2" fontId="1" fillId="14" borderId="0" xfId="0" applyNumberFormat="1" applyFont="1" applyFill="1" applyAlignment="1">
      <alignment horizontal="center"/>
    </xf>
    <xf numFmtId="0" fontId="0" fillId="14" borderId="0" xfId="0" applyFill="1" applyAlignment="1">
      <alignment horizontal="center"/>
    </xf>
    <xf numFmtId="164" fontId="0" fillId="14" borderId="0" xfId="0" applyNumberFormat="1" applyFill="1" applyAlignment="1">
      <alignment horizontal="center"/>
    </xf>
    <xf numFmtId="2" fontId="8" fillId="14" borderId="0" xfId="0" applyNumberFormat="1" applyFont="1" applyFill="1" applyAlignment="1">
      <alignment horizontal="center"/>
    </xf>
    <xf numFmtId="2" fontId="0" fillId="14" borderId="0" xfId="0" applyNumberFormat="1" applyFill="1" applyAlignment="1">
      <alignment horizontal="center"/>
    </xf>
    <xf numFmtId="0" fontId="0" fillId="0" borderId="32" xfId="0" quotePrefix="1" applyBorder="1"/>
    <xf numFmtId="0" fontId="0" fillId="0" borderId="0" xfId="0" quotePrefix="1"/>
    <xf numFmtId="167" fontId="11" fillId="0" borderId="0" xfId="0" applyNumberFormat="1" applyFont="1"/>
    <xf numFmtId="167" fontId="0" fillId="0" borderId="0" xfId="0" applyNumberFormat="1"/>
    <xf numFmtId="0" fontId="11" fillId="0" borderId="5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167" fontId="0" fillId="0" borderId="32" xfId="0" applyNumberFormat="1" applyBorder="1"/>
    <xf numFmtId="166" fontId="0" fillId="0" borderId="0" xfId="0" applyNumberFormat="1"/>
    <xf numFmtId="166" fontId="0" fillId="4" borderId="0" xfId="0" applyNumberFormat="1" applyFill="1"/>
    <xf numFmtId="0" fontId="0" fillId="15" borderId="0" xfId="0" applyFill="1"/>
    <xf numFmtId="0" fontId="0" fillId="4" borderId="0" xfId="0" applyFill="1"/>
    <xf numFmtId="0" fontId="1" fillId="4" borderId="0" xfId="0" applyFont="1" applyFill="1" applyAlignment="1">
      <alignment horizontal="center"/>
    </xf>
    <xf numFmtId="168" fontId="0" fillId="0" borderId="0" xfId="0" applyNumberForma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26" fillId="0" borderId="3" xfId="0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168" fontId="0" fillId="0" borderId="0" xfId="0" applyNumberFormat="1" applyAlignment="1">
      <alignment horizontal="center"/>
    </xf>
    <xf numFmtId="0" fontId="27" fillId="0" borderId="7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7" xfId="0" applyFont="1" applyBorder="1"/>
    <xf numFmtId="0" fontId="27" fillId="0" borderId="0" xfId="0" applyFont="1"/>
    <xf numFmtId="0" fontId="0" fillId="16" borderId="0" xfId="0" applyFill="1"/>
    <xf numFmtId="0" fontId="1" fillId="14" borderId="7" xfId="0" applyFont="1" applyFill="1" applyBorder="1" applyAlignment="1">
      <alignment horizontal="center"/>
    </xf>
    <xf numFmtId="0" fontId="12" fillId="10" borderId="0" xfId="1" applyFont="1" applyFill="1" applyBorder="1" applyAlignment="1">
      <alignment horizontal="center" vertical="center"/>
    </xf>
    <xf numFmtId="0" fontId="12" fillId="10" borderId="27" xfId="1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/>
    </xf>
    <xf numFmtId="0" fontId="11" fillId="0" borderId="27" xfId="0" applyFont="1" applyBorder="1"/>
    <xf numFmtId="0" fontId="0" fillId="14" borderId="0" xfId="0" applyFill="1"/>
    <xf numFmtId="0" fontId="11" fillId="14" borderId="0" xfId="0" applyFont="1" applyFill="1" applyAlignment="1">
      <alignment horizontal="center"/>
    </xf>
    <xf numFmtId="0" fontId="8" fillId="14" borderId="0" xfId="0" applyFont="1" applyFill="1"/>
    <xf numFmtId="0" fontId="11" fillId="14" borderId="7" xfId="0" applyFont="1" applyFill="1" applyBorder="1" applyAlignment="1">
      <alignment horizontal="center"/>
    </xf>
    <xf numFmtId="0" fontId="6" fillId="0" borderId="3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0" xfId="0" applyBorder="1" applyAlignment="1">
      <alignment horizontal="center"/>
    </xf>
  </cellXfs>
  <cellStyles count="4">
    <cellStyle name="Neutral" xfId="1" builtinId="28"/>
    <cellStyle name="Normal" xfId="0" builtinId="0"/>
    <cellStyle name="Normal 2" xfId="2" xr:uid="{852B7C36-FB27-452C-95DC-C8EEA4645462}"/>
    <cellStyle name="Percent 2" xfId="3" xr:uid="{DC53EBF0-1794-4A9A-812D-9BCF4FE6A39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2"/>
  <sheetViews>
    <sheetView zoomScale="110" zoomScaleNormal="110" workbookViewId="0">
      <selection activeCell="E4" sqref="E4"/>
    </sheetView>
  </sheetViews>
  <sheetFormatPr defaultRowHeight="15" x14ac:dyDescent="0.25"/>
  <cols>
    <col min="1" max="1" width="2.5703125" customWidth="1"/>
    <col min="2" max="2" width="4.42578125" customWidth="1"/>
    <col min="3" max="3" width="14.7109375" customWidth="1"/>
    <col min="4" max="4" width="12.140625" customWidth="1"/>
    <col min="5" max="5" width="10.7109375" customWidth="1"/>
    <col min="6" max="6" width="11.140625" customWidth="1"/>
    <col min="9" max="9" width="3.85546875" customWidth="1"/>
    <col min="10" max="10" width="9"/>
  </cols>
  <sheetData>
    <row r="1" spans="1:9" x14ac:dyDescent="0.25">
      <c r="A1" t="s">
        <v>0</v>
      </c>
      <c r="B1" t="s">
        <v>1</v>
      </c>
    </row>
    <row r="2" spans="1:9" x14ac:dyDescent="0.25">
      <c r="A2" t="s">
        <v>0</v>
      </c>
      <c r="B2" t="s">
        <v>51</v>
      </c>
    </row>
    <row r="3" spans="1:9" x14ac:dyDescent="0.25">
      <c r="A3" t="s">
        <v>0</v>
      </c>
      <c r="B3" t="s">
        <v>3</v>
      </c>
      <c r="E3" t="s">
        <v>1151</v>
      </c>
      <c r="I3" s="1"/>
    </row>
    <row r="4" spans="1:9" x14ac:dyDescent="0.25">
      <c r="A4" t="s">
        <v>0</v>
      </c>
    </row>
    <row r="5" spans="1:9" x14ac:dyDescent="0.25">
      <c r="A5" t="s">
        <v>0</v>
      </c>
      <c r="B5" t="s">
        <v>24</v>
      </c>
      <c r="E5" t="s">
        <v>769</v>
      </c>
      <c r="I5" s="1"/>
    </row>
    <row r="6" spans="1:9" x14ac:dyDescent="0.25">
      <c r="A6" t="s">
        <v>0</v>
      </c>
    </row>
    <row r="7" spans="1:9" x14ac:dyDescent="0.25">
      <c r="A7" t="s">
        <v>0</v>
      </c>
      <c r="B7" t="s">
        <v>4</v>
      </c>
      <c r="E7" t="s">
        <v>31</v>
      </c>
    </row>
    <row r="8" spans="1:9" x14ac:dyDescent="0.25">
      <c r="A8" t="s">
        <v>0</v>
      </c>
      <c r="E8" t="s">
        <v>54</v>
      </c>
    </row>
    <row r="9" spans="1:9" x14ac:dyDescent="0.25">
      <c r="A9" t="s">
        <v>0</v>
      </c>
      <c r="E9" t="s">
        <v>259</v>
      </c>
    </row>
    <row r="10" spans="1:9" x14ac:dyDescent="0.25">
      <c r="A10" t="s">
        <v>0</v>
      </c>
      <c r="E10" t="s">
        <v>374</v>
      </c>
    </row>
    <row r="11" spans="1:9" x14ac:dyDescent="0.25">
      <c r="A11" t="s">
        <v>0</v>
      </c>
      <c r="E11" t="s">
        <v>387</v>
      </c>
    </row>
    <row r="12" spans="1:9" x14ac:dyDescent="0.25">
      <c r="A12" t="s">
        <v>0</v>
      </c>
      <c r="E12" t="s">
        <v>431</v>
      </c>
    </row>
    <row r="13" spans="1:9" x14ac:dyDescent="0.25">
      <c r="A13" t="s">
        <v>0</v>
      </c>
      <c r="E13" t="s">
        <v>432</v>
      </c>
    </row>
    <row r="14" spans="1:9" x14ac:dyDescent="0.25">
      <c r="A14" t="s">
        <v>0</v>
      </c>
      <c r="E14" t="s">
        <v>641</v>
      </c>
      <c r="I14" s="1"/>
    </row>
    <row r="15" spans="1:9" x14ac:dyDescent="0.25">
      <c r="A15" t="s">
        <v>0</v>
      </c>
      <c r="E15" t="s">
        <v>770</v>
      </c>
      <c r="I15" s="1"/>
    </row>
    <row r="16" spans="1:9" x14ac:dyDescent="0.25">
      <c r="A16" t="s">
        <v>0</v>
      </c>
      <c r="E16" t="s">
        <v>771</v>
      </c>
      <c r="I16" s="1"/>
    </row>
    <row r="17" spans="1:11" x14ac:dyDescent="0.25">
      <c r="A17" t="s">
        <v>0</v>
      </c>
      <c r="E17" t="s">
        <v>768</v>
      </c>
      <c r="I17" s="1"/>
    </row>
    <row r="18" spans="1:11" x14ac:dyDescent="0.25">
      <c r="A18" t="s">
        <v>0</v>
      </c>
      <c r="E18" t="s">
        <v>1140</v>
      </c>
      <c r="I18" s="1"/>
    </row>
    <row r="19" spans="1:11" x14ac:dyDescent="0.25">
      <c r="A19" t="s">
        <v>0</v>
      </c>
      <c r="E19" t="s">
        <v>1141</v>
      </c>
      <c r="I19" s="1"/>
    </row>
    <row r="20" spans="1:11" x14ac:dyDescent="0.25">
      <c r="A20" t="s">
        <v>0</v>
      </c>
      <c r="E20" t="s">
        <v>1147</v>
      </c>
      <c r="I20" s="1"/>
    </row>
    <row r="21" spans="1:11" x14ac:dyDescent="0.25">
      <c r="A21" t="s">
        <v>0</v>
      </c>
    </row>
    <row r="22" spans="1:11" x14ac:dyDescent="0.25">
      <c r="A22" t="s">
        <v>0</v>
      </c>
      <c r="B22" t="s">
        <v>6</v>
      </c>
    </row>
    <row r="23" spans="1:11" x14ac:dyDescent="0.25">
      <c r="A23" t="s">
        <v>0</v>
      </c>
      <c r="D23" s="1">
        <v>1</v>
      </c>
      <c r="E23" t="s">
        <v>642</v>
      </c>
    </row>
    <row r="24" spans="1:11" x14ac:dyDescent="0.25">
      <c r="A24" t="s">
        <v>0</v>
      </c>
      <c r="D24" s="1">
        <v>2</v>
      </c>
      <c r="E24" t="s">
        <v>32</v>
      </c>
    </row>
    <row r="25" spans="1:11" x14ac:dyDescent="0.25">
      <c r="A25" t="s">
        <v>0</v>
      </c>
      <c r="D25" s="1"/>
    </row>
    <row r="26" spans="1:11" x14ac:dyDescent="0.25">
      <c r="A26" t="s">
        <v>0</v>
      </c>
      <c r="B26" t="s">
        <v>7</v>
      </c>
      <c r="D26" s="1"/>
    </row>
    <row r="27" spans="1:11" x14ac:dyDescent="0.25">
      <c r="A27" t="s">
        <v>0</v>
      </c>
      <c r="D27" s="1">
        <v>1</v>
      </c>
      <c r="E27" t="s">
        <v>200</v>
      </c>
      <c r="K27" t="s">
        <v>35</v>
      </c>
    </row>
    <row r="28" spans="1:11" x14ac:dyDescent="0.25">
      <c r="A28" t="s">
        <v>0</v>
      </c>
      <c r="D28" s="1">
        <v>2</v>
      </c>
      <c r="E28" t="s">
        <v>201</v>
      </c>
      <c r="K28" t="s">
        <v>35</v>
      </c>
    </row>
    <row r="29" spans="1:11" x14ac:dyDescent="0.25">
      <c r="A29" t="s">
        <v>0</v>
      </c>
      <c r="D29" s="1">
        <v>3</v>
      </c>
      <c r="E29" t="s">
        <v>202</v>
      </c>
      <c r="K29" t="s">
        <v>34</v>
      </c>
    </row>
    <row r="30" spans="1:11" x14ac:dyDescent="0.25">
      <c r="A30" t="s">
        <v>0</v>
      </c>
      <c r="D30" s="1">
        <v>4</v>
      </c>
      <c r="E30" t="s">
        <v>203</v>
      </c>
      <c r="K30" t="s">
        <v>34</v>
      </c>
    </row>
    <row r="31" spans="1:11" x14ac:dyDescent="0.25">
      <c r="A31" t="s">
        <v>0</v>
      </c>
      <c r="D31" s="1"/>
    </row>
    <row r="32" spans="1:11" x14ac:dyDescent="0.25">
      <c r="A32" t="s">
        <v>0</v>
      </c>
      <c r="E32" t="s">
        <v>46</v>
      </c>
      <c r="F32" s="1"/>
      <c r="G32" s="15" t="s">
        <v>45</v>
      </c>
    </row>
    <row r="33" spans="1:14" x14ac:dyDescent="0.25">
      <c r="A33" t="s">
        <v>0</v>
      </c>
      <c r="B33" s="1"/>
      <c r="C33" s="1"/>
      <c r="E33" s="2" t="s">
        <v>36</v>
      </c>
      <c r="F33" s="16" t="s">
        <v>38</v>
      </c>
      <c r="G33" s="2" t="s">
        <v>41</v>
      </c>
      <c r="H33" s="16" t="s">
        <v>43</v>
      </c>
      <c r="K33" s="1"/>
    </row>
    <row r="34" spans="1:14" x14ac:dyDescent="0.25">
      <c r="A34" t="s">
        <v>0</v>
      </c>
      <c r="B34" s="1"/>
      <c r="C34" s="1"/>
      <c r="E34" s="2" t="s">
        <v>37</v>
      </c>
      <c r="F34" s="16" t="s">
        <v>39</v>
      </c>
      <c r="G34" s="2" t="s">
        <v>42</v>
      </c>
      <c r="H34" s="16" t="s">
        <v>44</v>
      </c>
      <c r="K34" s="1"/>
    </row>
    <row r="35" spans="1:14" x14ac:dyDescent="0.25">
      <c r="A35" t="s">
        <v>0</v>
      </c>
      <c r="B35" s="1"/>
      <c r="C35" s="1"/>
      <c r="D35" s="18"/>
      <c r="E35" s="3" t="s">
        <v>33</v>
      </c>
      <c r="F35" s="17" t="s">
        <v>47</v>
      </c>
      <c r="G35" s="3" t="s">
        <v>47</v>
      </c>
      <c r="H35" s="17" t="s">
        <v>40</v>
      </c>
      <c r="J35" s="168"/>
      <c r="K35" s="1"/>
    </row>
    <row r="36" spans="1:14" x14ac:dyDescent="0.25">
      <c r="B36" s="27" t="s">
        <v>541</v>
      </c>
      <c r="E36" s="2"/>
      <c r="F36" s="16"/>
      <c r="G36" s="83"/>
      <c r="H36" s="16"/>
    </row>
    <row r="37" spans="1:14" x14ac:dyDescent="0.25">
      <c r="C37" s="4" t="s">
        <v>640</v>
      </c>
      <c r="D37" s="167" t="s">
        <v>48</v>
      </c>
      <c r="E37" s="20" t="s">
        <v>49</v>
      </c>
      <c r="F37" s="21" t="s">
        <v>39</v>
      </c>
      <c r="G37" s="21" t="s">
        <v>42</v>
      </c>
      <c r="H37" s="21" t="s">
        <v>44</v>
      </c>
      <c r="I37" s="1"/>
      <c r="J37" t="s">
        <v>772</v>
      </c>
      <c r="K37" t="s">
        <v>773</v>
      </c>
      <c r="L37" t="s">
        <v>774</v>
      </c>
      <c r="M37" t="s">
        <v>775</v>
      </c>
    </row>
    <row r="38" spans="1:14" x14ac:dyDescent="0.25">
      <c r="C38" s="154">
        <v>2520</v>
      </c>
      <c r="D38" s="156">
        <v>1</v>
      </c>
      <c r="E38" s="199">
        <v>33.6</v>
      </c>
      <c r="F38" s="129" t="s">
        <v>776</v>
      </c>
      <c r="G38" s="83" t="str">
        <f>" " &amp; J38 &amp; " " &amp; K38</f>
        <v xml:space="preserve"> Sep 25</v>
      </c>
      <c r="H38" s="156" t="str">
        <f>" " &amp; L38 &amp; " " &amp; M38</f>
        <v xml:space="preserve"> Jan 09</v>
      </c>
      <c r="I38" s="156" t="s">
        <v>0</v>
      </c>
      <c r="J38" s="146" t="s">
        <v>777</v>
      </c>
      <c r="K38" s="195" t="s">
        <v>778</v>
      </c>
      <c r="L38" s="146" t="s">
        <v>779</v>
      </c>
      <c r="M38" s="195" t="s">
        <v>611</v>
      </c>
      <c r="N38" s="146" t="s">
        <v>780</v>
      </c>
    </row>
    <row r="39" spans="1:14" x14ac:dyDescent="0.25">
      <c r="C39" s="1">
        <f>C38</f>
        <v>2520</v>
      </c>
      <c r="D39" s="1">
        <v>2</v>
      </c>
      <c r="E39" s="200">
        <v>31.5</v>
      </c>
      <c r="F39" s="61" t="s">
        <v>781</v>
      </c>
      <c r="G39" s="16" t="str">
        <f t="shared" ref="G39:G53" si="0">" " &amp; J39 &amp; " " &amp; K39</f>
        <v xml:space="preserve"> Oct 02</v>
      </c>
      <c r="H39" s="1" t="str">
        <f t="shared" ref="H39:H53" si="1">" " &amp; L39 &amp; " " &amp; M39</f>
        <v xml:space="preserve"> Jan 10</v>
      </c>
      <c r="I39" s="1" t="s">
        <v>0</v>
      </c>
      <c r="J39" t="s">
        <v>782</v>
      </c>
      <c r="K39" s="196" t="s">
        <v>604</v>
      </c>
      <c r="L39" t="s">
        <v>779</v>
      </c>
      <c r="M39" s="196" t="s">
        <v>612</v>
      </c>
      <c r="N39" s="197" t="s">
        <v>783</v>
      </c>
    </row>
    <row r="40" spans="1:14" x14ac:dyDescent="0.25">
      <c r="C40" s="1">
        <f t="shared" ref="C40:C53" si="2">C39</f>
        <v>2520</v>
      </c>
      <c r="D40" s="1">
        <v>3</v>
      </c>
      <c r="E40" s="200">
        <v>39.200000000000003</v>
      </c>
      <c r="F40" s="61" t="s">
        <v>784</v>
      </c>
      <c r="G40" s="16" t="str">
        <f t="shared" si="0"/>
        <v xml:space="preserve"> Sep 26</v>
      </c>
      <c r="H40" s="1" t="str">
        <f t="shared" si="1"/>
        <v xml:space="preserve"> Nov 27</v>
      </c>
      <c r="I40" s="1" t="s">
        <v>0</v>
      </c>
      <c r="J40" s="198" t="s">
        <v>777</v>
      </c>
      <c r="K40" s="196" t="s">
        <v>785</v>
      </c>
      <c r="L40" t="s">
        <v>786</v>
      </c>
      <c r="M40" s="196" t="s">
        <v>787</v>
      </c>
    </row>
    <row r="41" spans="1:14" x14ac:dyDescent="0.25">
      <c r="C41" s="1">
        <f t="shared" si="2"/>
        <v>2520</v>
      </c>
      <c r="D41" s="1">
        <v>4</v>
      </c>
      <c r="E41" s="200">
        <v>38.299999999999997</v>
      </c>
      <c r="F41" s="61" t="s">
        <v>663</v>
      </c>
      <c r="G41" s="16" t="str">
        <f t="shared" si="0"/>
        <v xml:space="preserve"> Jun 27</v>
      </c>
      <c r="H41" s="1" t="str">
        <f t="shared" si="1"/>
        <v xml:space="preserve"> Dec 02</v>
      </c>
      <c r="I41" s="1" t="s">
        <v>0</v>
      </c>
      <c r="J41" s="198" t="s">
        <v>788</v>
      </c>
      <c r="K41" s="196" t="s">
        <v>787</v>
      </c>
      <c r="L41" t="s">
        <v>789</v>
      </c>
      <c r="M41" s="196" t="s">
        <v>604</v>
      </c>
    </row>
    <row r="42" spans="1:14" x14ac:dyDescent="0.25">
      <c r="C42" s="1">
        <f t="shared" si="2"/>
        <v>2520</v>
      </c>
      <c r="D42" s="1">
        <v>5</v>
      </c>
      <c r="E42" s="200">
        <v>33.299999999999997</v>
      </c>
      <c r="F42" s="61" t="s">
        <v>649</v>
      </c>
      <c r="G42" s="16" t="str">
        <f t="shared" si="0"/>
        <v xml:space="preserve"> Sep 26</v>
      </c>
      <c r="H42" s="1" t="str">
        <f t="shared" si="1"/>
        <v xml:space="preserve"> Dec 01</v>
      </c>
      <c r="I42" s="1" t="s">
        <v>0</v>
      </c>
      <c r="J42" t="s">
        <v>777</v>
      </c>
      <c r="K42" s="196" t="s">
        <v>785</v>
      </c>
      <c r="L42" t="s">
        <v>789</v>
      </c>
      <c r="M42" s="196" t="s">
        <v>603</v>
      </c>
    </row>
    <row r="43" spans="1:14" x14ac:dyDescent="0.25">
      <c r="C43" s="1">
        <f t="shared" si="2"/>
        <v>2520</v>
      </c>
      <c r="D43" s="1">
        <v>6</v>
      </c>
      <c r="E43" s="200">
        <v>43.9</v>
      </c>
      <c r="F43" s="61" t="s">
        <v>647</v>
      </c>
      <c r="G43" s="16" t="str">
        <f t="shared" si="0"/>
        <v xml:space="preserve"> Sep 26</v>
      </c>
      <c r="H43" s="1" t="str">
        <f t="shared" si="1"/>
        <v xml:space="preserve"> Dec 06</v>
      </c>
      <c r="I43" s="1" t="s">
        <v>0</v>
      </c>
      <c r="J43" t="s">
        <v>777</v>
      </c>
      <c r="K43" s="196" t="s">
        <v>785</v>
      </c>
      <c r="L43" t="s">
        <v>789</v>
      </c>
      <c r="M43" s="196" t="s">
        <v>608</v>
      </c>
    </row>
    <row r="44" spans="1:14" x14ac:dyDescent="0.25">
      <c r="C44" s="1">
        <f t="shared" si="2"/>
        <v>2520</v>
      </c>
      <c r="D44" s="1">
        <v>7</v>
      </c>
      <c r="E44" s="200">
        <v>47.2</v>
      </c>
      <c r="F44" s="61" t="s">
        <v>790</v>
      </c>
      <c r="G44" s="16" t="str">
        <f t="shared" si="0"/>
        <v xml:space="preserve"> Sep 26</v>
      </c>
      <c r="H44" s="1" t="str">
        <f t="shared" si="1"/>
        <v xml:space="preserve"> Feb 15</v>
      </c>
      <c r="I44" s="1" t="s">
        <v>0</v>
      </c>
      <c r="J44" t="s">
        <v>777</v>
      </c>
      <c r="K44" s="196" t="s">
        <v>785</v>
      </c>
      <c r="L44" t="s">
        <v>791</v>
      </c>
      <c r="M44" s="196" t="s">
        <v>615</v>
      </c>
    </row>
    <row r="45" spans="1:14" x14ac:dyDescent="0.25">
      <c r="C45" s="1">
        <f t="shared" si="2"/>
        <v>2520</v>
      </c>
      <c r="D45" s="1">
        <v>8</v>
      </c>
      <c r="E45" s="200">
        <v>42.8</v>
      </c>
      <c r="F45" s="61" t="s">
        <v>402</v>
      </c>
      <c r="G45" s="16" t="str">
        <f t="shared" si="0"/>
        <v xml:space="preserve"> Jun 20</v>
      </c>
      <c r="H45" s="1" t="str">
        <f t="shared" si="1"/>
        <v xml:space="preserve"> Dec 01</v>
      </c>
      <c r="I45" s="1" t="s">
        <v>0</v>
      </c>
      <c r="J45" s="198" t="s">
        <v>788</v>
      </c>
      <c r="K45" s="196" t="s">
        <v>792</v>
      </c>
      <c r="L45" t="s">
        <v>789</v>
      </c>
      <c r="M45" s="196" t="s">
        <v>603</v>
      </c>
    </row>
    <row r="46" spans="1:14" x14ac:dyDescent="0.25">
      <c r="C46" s="1">
        <f t="shared" si="2"/>
        <v>2520</v>
      </c>
      <c r="D46" s="1">
        <v>9</v>
      </c>
      <c r="E46" s="200">
        <v>41.3</v>
      </c>
      <c r="F46" s="61" t="s">
        <v>655</v>
      </c>
      <c r="G46" s="16" t="str">
        <f t="shared" si="0"/>
        <v xml:space="preserve"> Jun 20</v>
      </c>
      <c r="H46" s="1" t="str">
        <f t="shared" si="1"/>
        <v xml:space="preserve"> Dec 01</v>
      </c>
      <c r="I46" s="1" t="s">
        <v>0</v>
      </c>
      <c r="J46" s="198" t="s">
        <v>788</v>
      </c>
      <c r="K46" s="196" t="s">
        <v>792</v>
      </c>
      <c r="L46" t="s">
        <v>789</v>
      </c>
      <c r="M46" s="196" t="s">
        <v>603</v>
      </c>
    </row>
    <row r="47" spans="1:14" x14ac:dyDescent="0.25">
      <c r="C47" s="1">
        <f t="shared" si="2"/>
        <v>2520</v>
      </c>
      <c r="D47" s="1">
        <v>10</v>
      </c>
      <c r="E47" s="200">
        <v>38.9</v>
      </c>
      <c r="F47" s="61" t="s">
        <v>793</v>
      </c>
      <c r="G47" s="16" t="str">
        <f t="shared" si="0"/>
        <v xml:space="preserve"> Jun 20</v>
      </c>
      <c r="H47" s="1" t="str">
        <f t="shared" si="1"/>
        <v xml:space="preserve"> Dec 01</v>
      </c>
      <c r="I47" s="1" t="s">
        <v>0</v>
      </c>
      <c r="J47" s="198" t="s">
        <v>788</v>
      </c>
      <c r="K47" s="196" t="s">
        <v>792</v>
      </c>
      <c r="L47" t="s">
        <v>789</v>
      </c>
      <c r="M47" s="196" t="s">
        <v>603</v>
      </c>
    </row>
    <row r="48" spans="1:14" x14ac:dyDescent="0.25">
      <c r="C48" s="1">
        <f t="shared" si="2"/>
        <v>2520</v>
      </c>
      <c r="D48" s="1">
        <v>11</v>
      </c>
      <c r="E48" s="200">
        <v>33.299999999999997</v>
      </c>
      <c r="F48" s="61" t="s">
        <v>657</v>
      </c>
      <c r="G48" s="16" t="str">
        <f t="shared" si="0"/>
        <v xml:space="preserve"> Jul 04</v>
      </c>
      <c r="H48" s="1" t="str">
        <f t="shared" si="1"/>
        <v xml:space="preserve"> Jan 10</v>
      </c>
      <c r="I48" s="1" t="s">
        <v>0</v>
      </c>
      <c r="J48" s="198" t="s">
        <v>794</v>
      </c>
      <c r="K48" s="196" t="s">
        <v>606</v>
      </c>
      <c r="L48" t="s">
        <v>779</v>
      </c>
      <c r="M48" s="196" t="s">
        <v>612</v>
      </c>
    </row>
    <row r="49" spans="3:14" x14ac:dyDescent="0.25">
      <c r="C49" s="1">
        <f t="shared" si="2"/>
        <v>2520</v>
      </c>
      <c r="D49" s="1">
        <v>12</v>
      </c>
      <c r="E49" s="200">
        <v>34</v>
      </c>
      <c r="F49" s="61" t="s">
        <v>793</v>
      </c>
      <c r="G49" s="16" t="str">
        <f t="shared" si="0"/>
        <v xml:space="preserve"> Jul 05</v>
      </c>
      <c r="H49" s="1" t="str">
        <f t="shared" si="1"/>
        <v xml:space="preserve"> Jan 10</v>
      </c>
      <c r="I49" s="1" t="s">
        <v>0</v>
      </c>
      <c r="J49" s="198" t="s">
        <v>794</v>
      </c>
      <c r="K49" s="196" t="s">
        <v>607</v>
      </c>
      <c r="L49" t="s">
        <v>779</v>
      </c>
      <c r="M49" s="196" t="s">
        <v>612</v>
      </c>
    </row>
    <row r="50" spans="3:14" x14ac:dyDescent="0.25">
      <c r="C50" s="1">
        <f t="shared" si="2"/>
        <v>2520</v>
      </c>
      <c r="D50" s="1">
        <v>13</v>
      </c>
      <c r="E50" s="200">
        <v>34.799999999999997</v>
      </c>
      <c r="F50" s="61" t="s">
        <v>660</v>
      </c>
      <c r="G50" s="16" t="str">
        <f t="shared" si="0"/>
        <v xml:space="preserve"> Jul 05</v>
      </c>
      <c r="H50" s="1" t="str">
        <f t="shared" si="1"/>
        <v xml:space="preserve"> Dec 04</v>
      </c>
      <c r="I50" s="1" t="s">
        <v>0</v>
      </c>
      <c r="J50" s="198" t="s">
        <v>794</v>
      </c>
      <c r="K50" s="196" t="s">
        <v>607</v>
      </c>
      <c r="L50" t="s">
        <v>789</v>
      </c>
      <c r="M50" s="196" t="s">
        <v>606</v>
      </c>
    </row>
    <row r="51" spans="3:14" x14ac:dyDescent="0.25">
      <c r="C51" s="1">
        <f t="shared" si="2"/>
        <v>2520</v>
      </c>
      <c r="D51" s="1">
        <v>14</v>
      </c>
      <c r="E51" s="200">
        <v>28</v>
      </c>
      <c r="F51" s="61" t="s">
        <v>655</v>
      </c>
      <c r="G51" s="16" t="str">
        <f t="shared" si="0"/>
        <v xml:space="preserve"> Jul 05</v>
      </c>
      <c r="H51" s="1" t="str">
        <f t="shared" si="1"/>
        <v xml:space="preserve"> Dec 01</v>
      </c>
      <c r="I51" s="1" t="s">
        <v>0</v>
      </c>
      <c r="J51" s="198" t="s">
        <v>794</v>
      </c>
      <c r="K51" s="196" t="s">
        <v>607</v>
      </c>
      <c r="L51" t="s">
        <v>789</v>
      </c>
      <c r="M51" s="196" t="s">
        <v>603</v>
      </c>
    </row>
    <row r="52" spans="3:14" x14ac:dyDescent="0.25">
      <c r="C52" s="1">
        <f t="shared" si="2"/>
        <v>2520</v>
      </c>
      <c r="D52" s="1">
        <v>15</v>
      </c>
      <c r="E52" s="200">
        <v>43.9</v>
      </c>
      <c r="F52" s="61" t="s">
        <v>795</v>
      </c>
      <c r="G52" s="16" t="str">
        <f t="shared" si="0"/>
        <v xml:space="preserve"> Jun 20</v>
      </c>
      <c r="H52" s="1" t="str">
        <f t="shared" si="1"/>
        <v xml:space="preserve"> Jan 02</v>
      </c>
      <c r="I52" s="1" t="s">
        <v>0</v>
      </c>
      <c r="J52" s="198" t="s">
        <v>788</v>
      </c>
      <c r="K52" s="196" t="s">
        <v>792</v>
      </c>
      <c r="L52" t="s">
        <v>779</v>
      </c>
      <c r="M52" s="196" t="s">
        <v>604</v>
      </c>
    </row>
    <row r="53" spans="3:14" x14ac:dyDescent="0.25">
      <c r="C53" s="1">
        <f t="shared" si="2"/>
        <v>2520</v>
      </c>
      <c r="D53" s="1">
        <v>16</v>
      </c>
      <c r="E53" s="201">
        <v>23.6</v>
      </c>
      <c r="F53" s="61" t="s">
        <v>796</v>
      </c>
      <c r="G53" s="16" t="str">
        <f t="shared" si="0"/>
        <v xml:space="preserve"> Jul 04</v>
      </c>
      <c r="H53" s="1" t="str">
        <f t="shared" si="1"/>
        <v xml:space="preserve"> Feb 04</v>
      </c>
      <c r="I53" s="1" t="s">
        <v>0</v>
      </c>
      <c r="J53" s="198" t="s">
        <v>794</v>
      </c>
      <c r="K53" s="196" t="s">
        <v>606</v>
      </c>
      <c r="L53" t="s">
        <v>791</v>
      </c>
      <c r="M53" s="196" t="s">
        <v>606</v>
      </c>
    </row>
    <row r="54" spans="3:14" x14ac:dyDescent="0.25">
      <c r="C54" s="154">
        <v>2530</v>
      </c>
      <c r="D54" s="156">
        <v>1</v>
      </c>
      <c r="E54" s="199">
        <v>33.6</v>
      </c>
      <c r="F54" s="129" t="s">
        <v>776</v>
      </c>
      <c r="G54" s="83" t="str">
        <f>" " &amp; J54 &amp; " " &amp; K54</f>
        <v xml:space="preserve"> Sep 25</v>
      </c>
      <c r="H54" s="156" t="str">
        <f>" " &amp; L54 &amp; " " &amp; M54</f>
        <v xml:space="preserve"> Jan 09</v>
      </c>
      <c r="I54" s="156" t="s">
        <v>0</v>
      </c>
      <c r="J54" s="146" t="s">
        <v>777</v>
      </c>
      <c r="K54" s="195" t="s">
        <v>778</v>
      </c>
      <c r="L54" s="146" t="s">
        <v>779</v>
      </c>
      <c r="M54" s="195" t="s">
        <v>611</v>
      </c>
      <c r="N54" s="146" t="s">
        <v>1146</v>
      </c>
    </row>
    <row r="55" spans="3:14" x14ac:dyDescent="0.25">
      <c r="C55" s="1">
        <f>C54</f>
        <v>2530</v>
      </c>
      <c r="D55" s="1">
        <v>2</v>
      </c>
      <c r="E55" s="200">
        <v>31.5</v>
      </c>
      <c r="F55" s="61" t="s">
        <v>781</v>
      </c>
      <c r="G55" s="16" t="str">
        <f t="shared" ref="G55:G69" si="3">" " &amp; J55 &amp; " " &amp; K55</f>
        <v xml:space="preserve"> Oct 02</v>
      </c>
      <c r="H55" s="1" t="str">
        <f t="shared" ref="H55:H69" si="4">" " &amp; L55 &amp; " " &amp; M55</f>
        <v xml:space="preserve"> Jan 10</v>
      </c>
      <c r="I55" s="1" t="s">
        <v>0</v>
      </c>
      <c r="J55" t="s">
        <v>782</v>
      </c>
      <c r="K55" s="196" t="s">
        <v>604</v>
      </c>
      <c r="L55" t="s">
        <v>779</v>
      </c>
      <c r="M55" s="196" t="s">
        <v>612</v>
      </c>
      <c r="N55" s="197" t="s">
        <v>783</v>
      </c>
    </row>
    <row r="56" spans="3:14" x14ac:dyDescent="0.25">
      <c r="C56" s="1">
        <f t="shared" ref="C56:C69" si="5">C55</f>
        <v>2530</v>
      </c>
      <c r="D56" s="1">
        <v>3</v>
      </c>
      <c r="E56" s="200">
        <v>39.200000000000003</v>
      </c>
      <c r="F56" s="61" t="s">
        <v>784</v>
      </c>
      <c r="G56" s="16" t="str">
        <f t="shared" si="3"/>
        <v xml:space="preserve"> Sep 26</v>
      </c>
      <c r="H56" s="1" t="str">
        <f t="shared" si="4"/>
        <v xml:space="preserve"> Nov 27</v>
      </c>
      <c r="I56" s="1" t="s">
        <v>0</v>
      </c>
      <c r="J56" s="198" t="s">
        <v>777</v>
      </c>
      <c r="K56" s="196" t="s">
        <v>785</v>
      </c>
      <c r="L56" t="s">
        <v>786</v>
      </c>
      <c r="M56" s="196" t="s">
        <v>787</v>
      </c>
    </row>
    <row r="57" spans="3:14" x14ac:dyDescent="0.25">
      <c r="C57" s="1">
        <f t="shared" si="5"/>
        <v>2530</v>
      </c>
      <c r="D57" s="1">
        <v>4</v>
      </c>
      <c r="E57" s="200">
        <v>38.299999999999997</v>
      </c>
      <c r="F57" s="61" t="s">
        <v>663</v>
      </c>
      <c r="G57" s="16" t="str">
        <f t="shared" si="3"/>
        <v xml:space="preserve"> Jun 27</v>
      </c>
      <c r="H57" s="1" t="str">
        <f t="shared" si="4"/>
        <v xml:space="preserve"> Dec 02</v>
      </c>
      <c r="I57" s="1" t="s">
        <v>0</v>
      </c>
      <c r="J57" s="198" t="s">
        <v>788</v>
      </c>
      <c r="K57" s="196" t="s">
        <v>787</v>
      </c>
      <c r="L57" t="s">
        <v>789</v>
      </c>
      <c r="M57" s="196" t="s">
        <v>604</v>
      </c>
    </row>
    <row r="58" spans="3:14" x14ac:dyDescent="0.25">
      <c r="C58" s="1">
        <f t="shared" si="5"/>
        <v>2530</v>
      </c>
      <c r="D58" s="1">
        <v>5</v>
      </c>
      <c r="E58" s="200">
        <v>33.299999999999997</v>
      </c>
      <c r="F58" s="61" t="s">
        <v>649</v>
      </c>
      <c r="G58" s="16" t="str">
        <f t="shared" si="3"/>
        <v xml:space="preserve"> Sep 26</v>
      </c>
      <c r="H58" s="1" t="str">
        <f t="shared" si="4"/>
        <v xml:space="preserve"> Dec 01</v>
      </c>
      <c r="I58" s="1" t="s">
        <v>0</v>
      </c>
      <c r="J58" t="s">
        <v>777</v>
      </c>
      <c r="K58" s="196" t="s">
        <v>785</v>
      </c>
      <c r="L58" t="s">
        <v>789</v>
      </c>
      <c r="M58" s="196" t="s">
        <v>603</v>
      </c>
    </row>
    <row r="59" spans="3:14" x14ac:dyDescent="0.25">
      <c r="C59" s="1">
        <f t="shared" si="5"/>
        <v>2530</v>
      </c>
      <c r="D59" s="1">
        <v>6</v>
      </c>
      <c r="E59" s="200">
        <v>43.9</v>
      </c>
      <c r="F59" s="61" t="s">
        <v>647</v>
      </c>
      <c r="G59" s="16" t="str">
        <f t="shared" si="3"/>
        <v xml:space="preserve"> Sep 26</v>
      </c>
      <c r="H59" s="1" t="str">
        <f t="shared" si="4"/>
        <v xml:space="preserve"> Dec 06</v>
      </c>
      <c r="I59" s="1" t="s">
        <v>0</v>
      </c>
      <c r="J59" t="s">
        <v>777</v>
      </c>
      <c r="K59" s="196" t="s">
        <v>785</v>
      </c>
      <c r="L59" t="s">
        <v>789</v>
      </c>
      <c r="M59" s="196" t="s">
        <v>608</v>
      </c>
    </row>
    <row r="60" spans="3:14" x14ac:dyDescent="0.25">
      <c r="C60" s="1">
        <f t="shared" si="5"/>
        <v>2530</v>
      </c>
      <c r="D60" s="1">
        <v>7</v>
      </c>
      <c r="E60" s="200">
        <v>47.2</v>
      </c>
      <c r="F60" s="61" t="s">
        <v>790</v>
      </c>
      <c r="G60" s="16" t="str">
        <f t="shared" si="3"/>
        <v xml:space="preserve"> Sep 26</v>
      </c>
      <c r="H60" s="1" t="str">
        <f t="shared" si="4"/>
        <v xml:space="preserve"> Feb 15</v>
      </c>
      <c r="I60" s="1" t="s">
        <v>0</v>
      </c>
      <c r="J60" t="s">
        <v>777</v>
      </c>
      <c r="K60" s="196" t="s">
        <v>785</v>
      </c>
      <c r="L60" t="s">
        <v>791</v>
      </c>
      <c r="M60" s="196" t="s">
        <v>615</v>
      </c>
    </row>
    <row r="61" spans="3:14" x14ac:dyDescent="0.25">
      <c r="C61" s="1">
        <f t="shared" si="5"/>
        <v>2530</v>
      </c>
      <c r="D61" s="1">
        <v>8</v>
      </c>
      <c r="E61" s="200">
        <v>42.8</v>
      </c>
      <c r="F61" s="61" t="s">
        <v>402</v>
      </c>
      <c r="G61" s="16" t="str">
        <f t="shared" si="3"/>
        <v xml:space="preserve"> Jun 20</v>
      </c>
      <c r="H61" s="1" t="str">
        <f t="shared" si="4"/>
        <v xml:space="preserve"> Dec 01</v>
      </c>
      <c r="I61" s="1" t="s">
        <v>0</v>
      </c>
      <c r="J61" s="198" t="s">
        <v>788</v>
      </c>
      <c r="K61" s="196" t="s">
        <v>792</v>
      </c>
      <c r="L61" t="s">
        <v>789</v>
      </c>
      <c r="M61" s="196" t="s">
        <v>603</v>
      </c>
    </row>
    <row r="62" spans="3:14" x14ac:dyDescent="0.25">
      <c r="C62" s="1">
        <f t="shared" si="5"/>
        <v>2530</v>
      </c>
      <c r="D62" s="1">
        <v>9</v>
      </c>
      <c r="E62" s="200">
        <v>41.3</v>
      </c>
      <c r="F62" s="61" t="s">
        <v>655</v>
      </c>
      <c r="G62" s="16" t="str">
        <f t="shared" si="3"/>
        <v xml:space="preserve"> Jun 20</v>
      </c>
      <c r="H62" s="1" t="str">
        <f t="shared" si="4"/>
        <v xml:space="preserve"> Dec 01</v>
      </c>
      <c r="I62" s="1" t="s">
        <v>0</v>
      </c>
      <c r="J62" s="198" t="s">
        <v>788</v>
      </c>
      <c r="K62" s="196" t="s">
        <v>792</v>
      </c>
      <c r="L62" t="s">
        <v>789</v>
      </c>
      <c r="M62" s="196" t="s">
        <v>603</v>
      </c>
    </row>
    <row r="63" spans="3:14" x14ac:dyDescent="0.25">
      <c r="C63" s="1">
        <f t="shared" si="5"/>
        <v>2530</v>
      </c>
      <c r="D63" s="1">
        <v>10</v>
      </c>
      <c r="E63" s="200">
        <v>38.9</v>
      </c>
      <c r="F63" s="61" t="s">
        <v>793</v>
      </c>
      <c r="G63" s="16" t="str">
        <f t="shared" si="3"/>
        <v xml:space="preserve"> Jun 20</v>
      </c>
      <c r="H63" s="1" t="str">
        <f t="shared" si="4"/>
        <v xml:space="preserve"> Dec 01</v>
      </c>
      <c r="I63" s="1" t="s">
        <v>0</v>
      </c>
      <c r="J63" s="198" t="s">
        <v>788</v>
      </c>
      <c r="K63" s="196" t="s">
        <v>792</v>
      </c>
      <c r="L63" t="s">
        <v>789</v>
      </c>
      <c r="M63" s="196" t="s">
        <v>603</v>
      </c>
    </row>
    <row r="64" spans="3:14" x14ac:dyDescent="0.25">
      <c r="C64" s="1">
        <f t="shared" si="5"/>
        <v>2530</v>
      </c>
      <c r="D64" s="1">
        <v>11</v>
      </c>
      <c r="E64" s="200">
        <v>33.299999999999997</v>
      </c>
      <c r="F64" s="61" t="s">
        <v>657</v>
      </c>
      <c r="G64" s="16" t="str">
        <f t="shared" si="3"/>
        <v xml:space="preserve"> Jul 04</v>
      </c>
      <c r="H64" s="1" t="str">
        <f t="shared" si="4"/>
        <v xml:space="preserve"> Jan 10</v>
      </c>
      <c r="I64" s="1" t="s">
        <v>0</v>
      </c>
      <c r="J64" s="198" t="s">
        <v>794</v>
      </c>
      <c r="K64" s="196" t="s">
        <v>606</v>
      </c>
      <c r="L64" t="s">
        <v>779</v>
      </c>
      <c r="M64" s="196" t="s">
        <v>612</v>
      </c>
    </row>
    <row r="65" spans="3:14" x14ac:dyDescent="0.25">
      <c r="C65" s="1">
        <f t="shared" si="5"/>
        <v>2530</v>
      </c>
      <c r="D65" s="1">
        <v>12</v>
      </c>
      <c r="E65" s="200">
        <v>34</v>
      </c>
      <c r="F65" s="61" t="s">
        <v>793</v>
      </c>
      <c r="G65" s="16" t="str">
        <f t="shared" si="3"/>
        <v xml:space="preserve"> Jul 05</v>
      </c>
      <c r="H65" s="1" t="str">
        <f t="shared" si="4"/>
        <v xml:space="preserve"> Jan 10</v>
      </c>
      <c r="I65" s="1" t="s">
        <v>0</v>
      </c>
      <c r="J65" s="198" t="s">
        <v>794</v>
      </c>
      <c r="K65" s="196" t="s">
        <v>607</v>
      </c>
      <c r="L65" t="s">
        <v>779</v>
      </c>
      <c r="M65" s="196" t="s">
        <v>612</v>
      </c>
    </row>
    <row r="66" spans="3:14" x14ac:dyDescent="0.25">
      <c r="C66" s="1">
        <f t="shared" si="5"/>
        <v>2530</v>
      </c>
      <c r="D66" s="1">
        <v>13</v>
      </c>
      <c r="E66" s="200">
        <v>34.799999999999997</v>
      </c>
      <c r="F66" s="61" t="s">
        <v>660</v>
      </c>
      <c r="G66" s="16" t="str">
        <f t="shared" si="3"/>
        <v xml:space="preserve"> Jul 05</v>
      </c>
      <c r="H66" s="1" t="str">
        <f t="shared" si="4"/>
        <v xml:space="preserve"> Dec 04</v>
      </c>
      <c r="I66" s="1" t="s">
        <v>0</v>
      </c>
      <c r="J66" s="198" t="s">
        <v>794</v>
      </c>
      <c r="K66" s="196" t="s">
        <v>607</v>
      </c>
      <c r="L66" t="s">
        <v>789</v>
      </c>
      <c r="M66" s="196" t="s">
        <v>606</v>
      </c>
    </row>
    <row r="67" spans="3:14" x14ac:dyDescent="0.25">
      <c r="C67" s="1">
        <f t="shared" si="5"/>
        <v>2530</v>
      </c>
      <c r="D67" s="1">
        <v>14</v>
      </c>
      <c r="E67" s="200">
        <v>28</v>
      </c>
      <c r="F67" s="61" t="s">
        <v>655</v>
      </c>
      <c r="G67" s="16" t="str">
        <f t="shared" si="3"/>
        <v xml:space="preserve"> Jul 05</v>
      </c>
      <c r="H67" s="1" t="str">
        <f t="shared" si="4"/>
        <v xml:space="preserve"> Dec 01</v>
      </c>
      <c r="I67" s="1" t="s">
        <v>0</v>
      </c>
      <c r="J67" s="198" t="s">
        <v>794</v>
      </c>
      <c r="K67" s="196" t="s">
        <v>607</v>
      </c>
      <c r="L67" t="s">
        <v>789</v>
      </c>
      <c r="M67" s="196" t="s">
        <v>603</v>
      </c>
    </row>
    <row r="68" spans="3:14" x14ac:dyDescent="0.25">
      <c r="C68" s="1">
        <f t="shared" si="5"/>
        <v>2530</v>
      </c>
      <c r="D68" s="1">
        <v>15</v>
      </c>
      <c r="E68" s="200">
        <v>43.9</v>
      </c>
      <c r="F68" s="61" t="s">
        <v>795</v>
      </c>
      <c r="G68" s="16" t="str">
        <f t="shared" si="3"/>
        <v xml:space="preserve"> Jun 20</v>
      </c>
      <c r="H68" s="1" t="str">
        <f t="shared" si="4"/>
        <v xml:space="preserve"> Jan 02</v>
      </c>
      <c r="I68" s="1" t="s">
        <v>0</v>
      </c>
      <c r="J68" s="198" t="s">
        <v>788</v>
      </c>
      <c r="K68" s="196" t="s">
        <v>792</v>
      </c>
      <c r="L68" t="s">
        <v>779</v>
      </c>
      <c r="M68" s="196" t="s">
        <v>604</v>
      </c>
    </row>
    <row r="69" spans="3:14" x14ac:dyDescent="0.25">
      <c r="C69" s="1">
        <f t="shared" si="5"/>
        <v>2530</v>
      </c>
      <c r="D69" s="1">
        <v>16</v>
      </c>
      <c r="E69" s="201">
        <v>23.6</v>
      </c>
      <c r="F69" s="61" t="s">
        <v>796</v>
      </c>
      <c r="G69" s="16" t="str">
        <f t="shared" si="3"/>
        <v xml:space="preserve"> Jul 04</v>
      </c>
      <c r="H69" s="1" t="str">
        <f t="shared" si="4"/>
        <v xml:space="preserve"> Feb 04</v>
      </c>
      <c r="I69" s="1" t="s">
        <v>0</v>
      </c>
      <c r="J69" s="198" t="s">
        <v>794</v>
      </c>
      <c r="K69" s="196" t="s">
        <v>606</v>
      </c>
      <c r="L69" t="s">
        <v>791</v>
      </c>
      <c r="M69" s="196" t="s">
        <v>606</v>
      </c>
    </row>
    <row r="70" spans="3:14" x14ac:dyDescent="0.25">
      <c r="C70" s="154">
        <v>2820</v>
      </c>
      <c r="D70" s="156">
        <v>1</v>
      </c>
      <c r="E70" s="199">
        <v>33.6</v>
      </c>
      <c r="F70" s="129" t="s">
        <v>776</v>
      </c>
      <c r="G70" s="83" t="str">
        <f>" " &amp; J70 &amp; " " &amp; K70</f>
        <v xml:space="preserve"> Sep 25</v>
      </c>
      <c r="H70" s="156" t="str">
        <f>" " &amp; L70 &amp; " " &amp; M70</f>
        <v xml:space="preserve"> Jan 09</v>
      </c>
      <c r="I70" s="156" t="s">
        <v>0</v>
      </c>
      <c r="J70" s="146" t="s">
        <v>777</v>
      </c>
      <c r="K70" s="195" t="s">
        <v>778</v>
      </c>
      <c r="L70" s="146" t="s">
        <v>779</v>
      </c>
      <c r="M70" s="195" t="s">
        <v>611</v>
      </c>
      <c r="N70" s="146" t="s">
        <v>1142</v>
      </c>
    </row>
    <row r="71" spans="3:14" x14ac:dyDescent="0.25">
      <c r="C71" s="1">
        <f>C70</f>
        <v>2820</v>
      </c>
      <c r="D71" s="1">
        <v>2</v>
      </c>
      <c r="E71" s="200">
        <v>31.5</v>
      </c>
      <c r="F71" s="61" t="s">
        <v>781</v>
      </c>
      <c r="G71" s="16" t="str">
        <f t="shared" ref="G71:G85" si="6">" " &amp; J71 &amp; " " &amp; K71</f>
        <v xml:space="preserve"> Oct 02</v>
      </c>
      <c r="H71" s="1" t="str">
        <f t="shared" ref="H71:H85" si="7">" " &amp; L71 &amp; " " &amp; M71</f>
        <v xml:space="preserve"> Jan 10</v>
      </c>
      <c r="I71" s="1" t="s">
        <v>0</v>
      </c>
      <c r="J71" t="s">
        <v>782</v>
      </c>
      <c r="K71" s="196" t="s">
        <v>604</v>
      </c>
      <c r="L71" t="s">
        <v>779</v>
      </c>
      <c r="M71" s="196" t="s">
        <v>612</v>
      </c>
      <c r="N71" s="197" t="s">
        <v>783</v>
      </c>
    </row>
    <row r="72" spans="3:14" x14ac:dyDescent="0.25">
      <c r="C72" s="1">
        <f t="shared" ref="C72:C85" si="8">C71</f>
        <v>2820</v>
      </c>
      <c r="D72" s="1">
        <v>3</v>
      </c>
      <c r="E72" s="200">
        <v>39.200000000000003</v>
      </c>
      <c r="F72" s="61" t="s">
        <v>784</v>
      </c>
      <c r="G72" s="16" t="str">
        <f t="shared" si="6"/>
        <v xml:space="preserve"> Sep 26</v>
      </c>
      <c r="H72" s="1" t="str">
        <f t="shared" si="7"/>
        <v xml:space="preserve"> Nov 27</v>
      </c>
      <c r="I72" s="1" t="s">
        <v>0</v>
      </c>
      <c r="J72" s="198" t="s">
        <v>777</v>
      </c>
      <c r="K72" s="196" t="s">
        <v>785</v>
      </c>
      <c r="L72" t="s">
        <v>786</v>
      </c>
      <c r="M72" s="196" t="s">
        <v>787</v>
      </c>
    </row>
    <row r="73" spans="3:14" x14ac:dyDescent="0.25">
      <c r="C73" s="1">
        <f t="shared" si="8"/>
        <v>2820</v>
      </c>
      <c r="D73" s="1">
        <v>4</v>
      </c>
      <c r="E73" s="200">
        <v>38.299999999999997</v>
      </c>
      <c r="F73" s="61" t="s">
        <v>663</v>
      </c>
      <c r="G73" s="16" t="str">
        <f t="shared" si="6"/>
        <v xml:space="preserve"> Jun 27</v>
      </c>
      <c r="H73" s="1" t="str">
        <f t="shared" si="7"/>
        <v xml:space="preserve"> Dec 02</v>
      </c>
      <c r="I73" s="1" t="s">
        <v>0</v>
      </c>
      <c r="J73" s="198" t="s">
        <v>788</v>
      </c>
      <c r="K73" s="196" t="s">
        <v>787</v>
      </c>
      <c r="L73" t="s">
        <v>789</v>
      </c>
      <c r="M73" s="196" t="s">
        <v>604</v>
      </c>
    </row>
    <row r="74" spans="3:14" x14ac:dyDescent="0.25">
      <c r="C74" s="1">
        <f t="shared" si="8"/>
        <v>2820</v>
      </c>
      <c r="D74" s="1">
        <v>5</v>
      </c>
      <c r="E74" s="200">
        <v>33.299999999999997</v>
      </c>
      <c r="F74" s="61" t="s">
        <v>649</v>
      </c>
      <c r="G74" s="16" t="str">
        <f t="shared" si="6"/>
        <v xml:space="preserve"> Sep 26</v>
      </c>
      <c r="H74" s="1" t="str">
        <f t="shared" si="7"/>
        <v xml:space="preserve"> Dec 01</v>
      </c>
      <c r="I74" s="1" t="s">
        <v>0</v>
      </c>
      <c r="J74" t="s">
        <v>777</v>
      </c>
      <c r="K74" s="196" t="s">
        <v>785</v>
      </c>
      <c r="L74" t="s">
        <v>789</v>
      </c>
      <c r="M74" s="196" t="s">
        <v>603</v>
      </c>
    </row>
    <row r="75" spans="3:14" x14ac:dyDescent="0.25">
      <c r="C75" s="1">
        <f t="shared" si="8"/>
        <v>2820</v>
      </c>
      <c r="D75" s="1">
        <v>6</v>
      </c>
      <c r="E75" s="200">
        <v>43.9</v>
      </c>
      <c r="F75" s="61" t="s">
        <v>647</v>
      </c>
      <c r="G75" s="16" t="str">
        <f t="shared" si="6"/>
        <v xml:space="preserve"> Sep 26</v>
      </c>
      <c r="H75" s="1" t="str">
        <f t="shared" si="7"/>
        <v xml:space="preserve"> Dec 06</v>
      </c>
      <c r="I75" s="1" t="s">
        <v>0</v>
      </c>
      <c r="J75" t="s">
        <v>777</v>
      </c>
      <c r="K75" s="196" t="s">
        <v>785</v>
      </c>
      <c r="L75" t="s">
        <v>789</v>
      </c>
      <c r="M75" s="196" t="s">
        <v>608</v>
      </c>
    </row>
    <row r="76" spans="3:14" x14ac:dyDescent="0.25">
      <c r="C76" s="1">
        <f t="shared" si="8"/>
        <v>2820</v>
      </c>
      <c r="D76" s="1">
        <v>7</v>
      </c>
      <c r="E76" s="200">
        <v>47.2</v>
      </c>
      <c r="F76" s="61" t="s">
        <v>790</v>
      </c>
      <c r="G76" s="16" t="str">
        <f t="shared" si="6"/>
        <v xml:space="preserve"> Sep 26</v>
      </c>
      <c r="H76" s="1" t="str">
        <f t="shared" si="7"/>
        <v xml:space="preserve"> Feb 15</v>
      </c>
      <c r="I76" s="1" t="s">
        <v>0</v>
      </c>
      <c r="J76" t="s">
        <v>777</v>
      </c>
      <c r="K76" s="196" t="s">
        <v>785</v>
      </c>
      <c r="L76" t="s">
        <v>791</v>
      </c>
      <c r="M76" s="196" t="s">
        <v>615</v>
      </c>
    </row>
    <row r="77" spans="3:14" x14ac:dyDescent="0.25">
      <c r="C77" s="1">
        <f t="shared" si="8"/>
        <v>2820</v>
      </c>
      <c r="D77" s="1">
        <v>8</v>
      </c>
      <c r="E77" s="200">
        <v>42.8</v>
      </c>
      <c r="F77" s="61" t="s">
        <v>402</v>
      </c>
      <c r="G77" s="16" t="str">
        <f t="shared" si="6"/>
        <v xml:space="preserve"> Jun 20</v>
      </c>
      <c r="H77" s="1" t="str">
        <f t="shared" si="7"/>
        <v xml:space="preserve"> Dec 01</v>
      </c>
      <c r="I77" s="1" t="s">
        <v>0</v>
      </c>
      <c r="J77" s="198" t="s">
        <v>788</v>
      </c>
      <c r="K77" s="196" t="s">
        <v>792</v>
      </c>
      <c r="L77" t="s">
        <v>789</v>
      </c>
      <c r="M77" s="196" t="s">
        <v>603</v>
      </c>
    </row>
    <row r="78" spans="3:14" x14ac:dyDescent="0.25">
      <c r="C78" s="1">
        <f t="shared" si="8"/>
        <v>2820</v>
      </c>
      <c r="D78" s="1">
        <v>9</v>
      </c>
      <c r="E78" s="200">
        <v>41.3</v>
      </c>
      <c r="F78" s="61" t="s">
        <v>655</v>
      </c>
      <c r="G78" s="16" t="str">
        <f t="shared" si="6"/>
        <v xml:space="preserve"> Jun 20</v>
      </c>
      <c r="H78" s="1" t="str">
        <f t="shared" si="7"/>
        <v xml:space="preserve"> Dec 01</v>
      </c>
      <c r="I78" s="1" t="s">
        <v>0</v>
      </c>
      <c r="J78" s="198" t="s">
        <v>788</v>
      </c>
      <c r="K78" s="196" t="s">
        <v>792</v>
      </c>
      <c r="L78" t="s">
        <v>789</v>
      </c>
      <c r="M78" s="196" t="s">
        <v>603</v>
      </c>
    </row>
    <row r="79" spans="3:14" x14ac:dyDescent="0.25">
      <c r="C79" s="1">
        <f t="shared" si="8"/>
        <v>2820</v>
      </c>
      <c r="D79" s="1">
        <v>10</v>
      </c>
      <c r="E79" s="200">
        <v>38.9</v>
      </c>
      <c r="F79" s="61" t="s">
        <v>793</v>
      </c>
      <c r="G79" s="16" t="str">
        <f t="shared" si="6"/>
        <v xml:space="preserve"> Jun 20</v>
      </c>
      <c r="H79" s="1" t="str">
        <f t="shared" si="7"/>
        <v xml:space="preserve"> Dec 01</v>
      </c>
      <c r="I79" s="1" t="s">
        <v>0</v>
      </c>
      <c r="J79" s="198" t="s">
        <v>788</v>
      </c>
      <c r="K79" s="196" t="s">
        <v>792</v>
      </c>
      <c r="L79" t="s">
        <v>789</v>
      </c>
      <c r="M79" s="196" t="s">
        <v>603</v>
      </c>
    </row>
    <row r="80" spans="3:14" x14ac:dyDescent="0.25">
      <c r="C80" s="1">
        <f t="shared" si="8"/>
        <v>2820</v>
      </c>
      <c r="D80" s="1">
        <v>11</v>
      </c>
      <c r="E80" s="200">
        <v>33.299999999999997</v>
      </c>
      <c r="F80" s="61" t="s">
        <v>657</v>
      </c>
      <c r="G80" s="16" t="str">
        <f t="shared" si="6"/>
        <v xml:space="preserve"> Jul 04</v>
      </c>
      <c r="H80" s="1" t="str">
        <f t="shared" si="7"/>
        <v xml:space="preserve"> Jan 10</v>
      </c>
      <c r="I80" s="1" t="s">
        <v>0</v>
      </c>
      <c r="J80" s="198" t="s">
        <v>794</v>
      </c>
      <c r="K80" s="196" t="s">
        <v>606</v>
      </c>
      <c r="L80" t="s">
        <v>779</v>
      </c>
      <c r="M80" s="196" t="s">
        <v>612</v>
      </c>
    </row>
    <row r="81" spans="3:14" x14ac:dyDescent="0.25">
      <c r="C81" s="1">
        <f t="shared" si="8"/>
        <v>2820</v>
      </c>
      <c r="D81" s="1">
        <v>12</v>
      </c>
      <c r="E81" s="200">
        <v>34</v>
      </c>
      <c r="F81" s="61" t="s">
        <v>793</v>
      </c>
      <c r="G81" s="16" t="str">
        <f t="shared" si="6"/>
        <v xml:space="preserve"> Jul 05</v>
      </c>
      <c r="H81" s="1" t="str">
        <f t="shared" si="7"/>
        <v xml:space="preserve"> Jan 10</v>
      </c>
      <c r="I81" s="1" t="s">
        <v>0</v>
      </c>
      <c r="J81" s="198" t="s">
        <v>794</v>
      </c>
      <c r="K81" s="196" t="s">
        <v>607</v>
      </c>
      <c r="L81" t="s">
        <v>779</v>
      </c>
      <c r="M81" s="196" t="s">
        <v>612</v>
      </c>
    </row>
    <row r="82" spans="3:14" x14ac:dyDescent="0.25">
      <c r="C82" s="1">
        <f t="shared" si="8"/>
        <v>2820</v>
      </c>
      <c r="D82" s="1">
        <v>13</v>
      </c>
      <c r="E82" s="200">
        <v>34.799999999999997</v>
      </c>
      <c r="F82" s="61" t="s">
        <v>660</v>
      </c>
      <c r="G82" s="16" t="str">
        <f t="shared" si="6"/>
        <v xml:space="preserve"> Jul 05</v>
      </c>
      <c r="H82" s="1" t="str">
        <f t="shared" si="7"/>
        <v xml:space="preserve"> Dec 04</v>
      </c>
      <c r="I82" s="1" t="s">
        <v>0</v>
      </c>
      <c r="J82" s="198" t="s">
        <v>794</v>
      </c>
      <c r="K82" s="196" t="s">
        <v>607</v>
      </c>
      <c r="L82" t="s">
        <v>789</v>
      </c>
      <c r="M82" s="196" t="s">
        <v>606</v>
      </c>
    </row>
    <row r="83" spans="3:14" x14ac:dyDescent="0.25">
      <c r="C83" s="1">
        <f t="shared" si="8"/>
        <v>2820</v>
      </c>
      <c r="D83" s="1">
        <v>14</v>
      </c>
      <c r="E83" s="200">
        <v>28</v>
      </c>
      <c r="F83" s="61" t="s">
        <v>655</v>
      </c>
      <c r="G83" s="16" t="str">
        <f t="shared" si="6"/>
        <v xml:space="preserve"> Jul 05</v>
      </c>
      <c r="H83" s="1" t="str">
        <f t="shared" si="7"/>
        <v xml:space="preserve"> Dec 01</v>
      </c>
      <c r="I83" s="1" t="s">
        <v>0</v>
      </c>
      <c r="J83" s="198" t="s">
        <v>794</v>
      </c>
      <c r="K83" s="196" t="s">
        <v>607</v>
      </c>
      <c r="L83" t="s">
        <v>789</v>
      </c>
      <c r="M83" s="196" t="s">
        <v>603</v>
      </c>
    </row>
    <row r="84" spans="3:14" x14ac:dyDescent="0.25">
      <c r="C84" s="1">
        <f t="shared" si="8"/>
        <v>2820</v>
      </c>
      <c r="D84" s="1">
        <v>15</v>
      </c>
      <c r="E84" s="200">
        <v>43.9</v>
      </c>
      <c r="F84" s="61" t="s">
        <v>795</v>
      </c>
      <c r="G84" s="16" t="str">
        <f t="shared" si="6"/>
        <v xml:space="preserve"> Jun 20</v>
      </c>
      <c r="H84" s="1" t="str">
        <f t="shared" si="7"/>
        <v xml:space="preserve"> Jan 02</v>
      </c>
      <c r="I84" s="1" t="s">
        <v>0</v>
      </c>
      <c r="J84" s="198" t="s">
        <v>788</v>
      </c>
      <c r="K84" s="196" t="s">
        <v>792</v>
      </c>
      <c r="L84" t="s">
        <v>779</v>
      </c>
      <c r="M84" s="196" t="s">
        <v>604</v>
      </c>
    </row>
    <row r="85" spans="3:14" x14ac:dyDescent="0.25">
      <c r="C85" s="1">
        <f t="shared" si="8"/>
        <v>2820</v>
      </c>
      <c r="D85" s="1">
        <v>16</v>
      </c>
      <c r="E85" s="201">
        <v>23.6</v>
      </c>
      <c r="F85" s="61" t="s">
        <v>796</v>
      </c>
      <c r="G85" s="16" t="str">
        <f t="shared" si="6"/>
        <v xml:space="preserve"> Jul 04</v>
      </c>
      <c r="H85" s="1" t="str">
        <f t="shared" si="7"/>
        <v xml:space="preserve"> Feb 04</v>
      </c>
      <c r="I85" s="1" t="s">
        <v>0</v>
      </c>
      <c r="J85" s="198" t="s">
        <v>794</v>
      </c>
      <c r="K85" s="196" t="s">
        <v>606</v>
      </c>
      <c r="L85" t="s">
        <v>791</v>
      </c>
      <c r="M85" s="196" t="s">
        <v>606</v>
      </c>
    </row>
    <row r="86" spans="3:14" x14ac:dyDescent="0.25">
      <c r="C86" s="154">
        <v>2830</v>
      </c>
      <c r="D86" s="156">
        <v>1</v>
      </c>
      <c r="E86" s="199">
        <v>33.6</v>
      </c>
      <c r="F86" s="129" t="s">
        <v>776</v>
      </c>
      <c r="G86" s="83" t="str">
        <f>" " &amp; J86 &amp; " " &amp; K86</f>
        <v xml:space="preserve"> Sep 25</v>
      </c>
      <c r="H86" s="156" t="str">
        <f>" " &amp; L86 &amp; " " &amp; M86</f>
        <v xml:space="preserve"> Jan 09</v>
      </c>
      <c r="I86" s="156" t="s">
        <v>0</v>
      </c>
      <c r="J86" s="146" t="s">
        <v>777</v>
      </c>
      <c r="K86" s="195" t="s">
        <v>778</v>
      </c>
      <c r="L86" s="146" t="s">
        <v>779</v>
      </c>
      <c r="M86" s="195" t="s">
        <v>611</v>
      </c>
      <c r="N86" s="146" t="s">
        <v>1143</v>
      </c>
    </row>
    <row r="87" spans="3:14" x14ac:dyDescent="0.25">
      <c r="C87" s="1">
        <f>C86</f>
        <v>2830</v>
      </c>
      <c r="D87" s="1">
        <v>2</v>
      </c>
      <c r="E87" s="200">
        <v>31.5</v>
      </c>
      <c r="F87" s="61" t="s">
        <v>781</v>
      </c>
      <c r="G87" s="16" t="str">
        <f t="shared" ref="G87:G101" si="9">" " &amp; J87 &amp; " " &amp; K87</f>
        <v xml:space="preserve"> Oct 02</v>
      </c>
      <c r="H87" s="1" t="str">
        <f t="shared" ref="H87:H101" si="10">" " &amp; L87 &amp; " " &amp; M87</f>
        <v xml:space="preserve"> Jan 10</v>
      </c>
      <c r="I87" s="1" t="s">
        <v>0</v>
      </c>
      <c r="J87" t="s">
        <v>782</v>
      </c>
      <c r="K87" s="196" t="s">
        <v>604</v>
      </c>
      <c r="L87" t="s">
        <v>779</v>
      </c>
      <c r="M87" s="196" t="s">
        <v>612</v>
      </c>
      <c r="N87" s="197" t="s">
        <v>783</v>
      </c>
    </row>
    <row r="88" spans="3:14" x14ac:dyDescent="0.25">
      <c r="C88" s="1">
        <f t="shared" ref="C88:C101" si="11">C87</f>
        <v>2830</v>
      </c>
      <c r="D88" s="1">
        <v>3</v>
      </c>
      <c r="E88" s="200">
        <v>39.200000000000003</v>
      </c>
      <c r="F88" s="61" t="s">
        <v>784</v>
      </c>
      <c r="G88" s="16" t="str">
        <f t="shared" si="9"/>
        <v xml:space="preserve"> Sep 26</v>
      </c>
      <c r="H88" s="1" t="str">
        <f t="shared" si="10"/>
        <v xml:space="preserve"> Nov 27</v>
      </c>
      <c r="I88" s="1" t="s">
        <v>0</v>
      </c>
      <c r="J88" s="198" t="s">
        <v>777</v>
      </c>
      <c r="K88" s="196" t="s">
        <v>785</v>
      </c>
      <c r="L88" t="s">
        <v>786</v>
      </c>
      <c r="M88" s="196" t="s">
        <v>787</v>
      </c>
    </row>
    <row r="89" spans="3:14" x14ac:dyDescent="0.25">
      <c r="C89" s="1">
        <f t="shared" si="11"/>
        <v>2830</v>
      </c>
      <c r="D89" s="1">
        <v>4</v>
      </c>
      <c r="E89" s="200">
        <v>38.299999999999997</v>
      </c>
      <c r="F89" s="61" t="s">
        <v>663</v>
      </c>
      <c r="G89" s="16" t="str">
        <f t="shared" si="9"/>
        <v xml:space="preserve"> Jun 27</v>
      </c>
      <c r="H89" s="1" t="str">
        <f t="shared" si="10"/>
        <v xml:space="preserve"> Dec 02</v>
      </c>
      <c r="I89" s="1" t="s">
        <v>0</v>
      </c>
      <c r="J89" s="198" t="s">
        <v>788</v>
      </c>
      <c r="K89" s="196" t="s">
        <v>787</v>
      </c>
      <c r="L89" t="s">
        <v>789</v>
      </c>
      <c r="M89" s="196" t="s">
        <v>604</v>
      </c>
    </row>
    <row r="90" spans="3:14" x14ac:dyDescent="0.25">
      <c r="C90" s="1">
        <f t="shared" si="11"/>
        <v>2830</v>
      </c>
      <c r="D90" s="1">
        <v>5</v>
      </c>
      <c r="E90" s="200">
        <v>33.299999999999997</v>
      </c>
      <c r="F90" s="61" t="s">
        <v>649</v>
      </c>
      <c r="G90" s="16" t="str">
        <f t="shared" si="9"/>
        <v xml:space="preserve"> Sep 26</v>
      </c>
      <c r="H90" s="1" t="str">
        <f t="shared" si="10"/>
        <v xml:space="preserve"> Dec 01</v>
      </c>
      <c r="I90" s="1" t="s">
        <v>0</v>
      </c>
      <c r="J90" t="s">
        <v>777</v>
      </c>
      <c r="K90" s="196" t="s">
        <v>785</v>
      </c>
      <c r="L90" t="s">
        <v>789</v>
      </c>
      <c r="M90" s="196" t="s">
        <v>603</v>
      </c>
    </row>
    <row r="91" spans="3:14" x14ac:dyDescent="0.25">
      <c r="C91" s="1">
        <f t="shared" si="11"/>
        <v>2830</v>
      </c>
      <c r="D91" s="1">
        <v>6</v>
      </c>
      <c r="E91" s="200">
        <v>43.9</v>
      </c>
      <c r="F91" s="61" t="s">
        <v>647</v>
      </c>
      <c r="G91" s="16" t="str">
        <f t="shared" si="9"/>
        <v xml:space="preserve"> Sep 26</v>
      </c>
      <c r="H91" s="1" t="str">
        <f t="shared" si="10"/>
        <v xml:space="preserve"> Dec 06</v>
      </c>
      <c r="I91" s="1" t="s">
        <v>0</v>
      </c>
      <c r="J91" t="s">
        <v>777</v>
      </c>
      <c r="K91" s="196" t="s">
        <v>785</v>
      </c>
      <c r="L91" t="s">
        <v>789</v>
      </c>
      <c r="M91" s="196" t="s">
        <v>608</v>
      </c>
    </row>
    <row r="92" spans="3:14" x14ac:dyDescent="0.25">
      <c r="C92" s="1">
        <f t="shared" si="11"/>
        <v>2830</v>
      </c>
      <c r="D92" s="1">
        <v>7</v>
      </c>
      <c r="E92" s="200">
        <v>47.2</v>
      </c>
      <c r="F92" s="61" t="s">
        <v>790</v>
      </c>
      <c r="G92" s="16" t="str">
        <f t="shared" si="9"/>
        <v xml:space="preserve"> Sep 26</v>
      </c>
      <c r="H92" s="1" t="str">
        <f t="shared" si="10"/>
        <v xml:space="preserve"> Feb 15</v>
      </c>
      <c r="I92" s="1" t="s">
        <v>0</v>
      </c>
      <c r="J92" t="s">
        <v>777</v>
      </c>
      <c r="K92" s="196" t="s">
        <v>785</v>
      </c>
      <c r="L92" t="s">
        <v>791</v>
      </c>
      <c r="M92" s="196" t="s">
        <v>615</v>
      </c>
    </row>
    <row r="93" spans="3:14" x14ac:dyDescent="0.25">
      <c r="C93" s="1">
        <f t="shared" si="11"/>
        <v>2830</v>
      </c>
      <c r="D93" s="1">
        <v>8</v>
      </c>
      <c r="E93" s="200">
        <v>42.8</v>
      </c>
      <c r="F93" s="61" t="s">
        <v>402</v>
      </c>
      <c r="G93" s="16" t="str">
        <f t="shared" si="9"/>
        <v xml:space="preserve"> Jun 20</v>
      </c>
      <c r="H93" s="1" t="str">
        <f t="shared" si="10"/>
        <v xml:space="preserve"> Dec 01</v>
      </c>
      <c r="I93" s="1" t="s">
        <v>0</v>
      </c>
      <c r="J93" s="198" t="s">
        <v>788</v>
      </c>
      <c r="K93" s="196" t="s">
        <v>792</v>
      </c>
      <c r="L93" t="s">
        <v>789</v>
      </c>
      <c r="M93" s="196" t="s">
        <v>603</v>
      </c>
    </row>
    <row r="94" spans="3:14" x14ac:dyDescent="0.25">
      <c r="C94" s="1">
        <f t="shared" si="11"/>
        <v>2830</v>
      </c>
      <c r="D94" s="1">
        <v>9</v>
      </c>
      <c r="E94" s="200">
        <v>41.3</v>
      </c>
      <c r="F94" s="61" t="s">
        <v>655</v>
      </c>
      <c r="G94" s="16" t="str">
        <f t="shared" si="9"/>
        <v xml:space="preserve"> Jun 20</v>
      </c>
      <c r="H94" s="1" t="str">
        <f t="shared" si="10"/>
        <v xml:space="preserve"> Dec 01</v>
      </c>
      <c r="I94" s="1" t="s">
        <v>0</v>
      </c>
      <c r="J94" s="198" t="s">
        <v>788</v>
      </c>
      <c r="K94" s="196" t="s">
        <v>792</v>
      </c>
      <c r="L94" t="s">
        <v>789</v>
      </c>
      <c r="M94" s="196" t="s">
        <v>603</v>
      </c>
    </row>
    <row r="95" spans="3:14" x14ac:dyDescent="0.25">
      <c r="C95" s="1">
        <f t="shared" si="11"/>
        <v>2830</v>
      </c>
      <c r="D95" s="1">
        <v>10</v>
      </c>
      <c r="E95" s="200">
        <v>38.9</v>
      </c>
      <c r="F95" s="61" t="s">
        <v>793</v>
      </c>
      <c r="G95" s="16" t="str">
        <f t="shared" si="9"/>
        <v xml:space="preserve"> Jun 20</v>
      </c>
      <c r="H95" s="1" t="str">
        <f t="shared" si="10"/>
        <v xml:space="preserve"> Dec 01</v>
      </c>
      <c r="I95" s="1" t="s">
        <v>0</v>
      </c>
      <c r="J95" s="198" t="s">
        <v>788</v>
      </c>
      <c r="K95" s="196" t="s">
        <v>792</v>
      </c>
      <c r="L95" t="s">
        <v>789</v>
      </c>
      <c r="M95" s="196" t="s">
        <v>603</v>
      </c>
    </row>
    <row r="96" spans="3:14" x14ac:dyDescent="0.25">
      <c r="C96" s="1">
        <f t="shared" si="11"/>
        <v>2830</v>
      </c>
      <c r="D96" s="1">
        <v>11</v>
      </c>
      <c r="E96" s="200">
        <v>33.299999999999997</v>
      </c>
      <c r="F96" s="61" t="s">
        <v>657</v>
      </c>
      <c r="G96" s="16" t="str">
        <f t="shared" si="9"/>
        <v xml:space="preserve"> Jul 04</v>
      </c>
      <c r="H96" s="1" t="str">
        <f t="shared" si="10"/>
        <v xml:space="preserve"> Jan 10</v>
      </c>
      <c r="I96" s="1" t="s">
        <v>0</v>
      </c>
      <c r="J96" s="198" t="s">
        <v>794</v>
      </c>
      <c r="K96" s="196" t="s">
        <v>606</v>
      </c>
      <c r="L96" t="s">
        <v>779</v>
      </c>
      <c r="M96" s="196" t="s">
        <v>612</v>
      </c>
    </row>
    <row r="97" spans="3:14" x14ac:dyDescent="0.25">
      <c r="C97" s="1">
        <f t="shared" si="11"/>
        <v>2830</v>
      </c>
      <c r="D97" s="1">
        <v>12</v>
      </c>
      <c r="E97" s="200">
        <v>34</v>
      </c>
      <c r="F97" s="61" t="s">
        <v>793</v>
      </c>
      <c r="G97" s="16" t="str">
        <f t="shared" si="9"/>
        <v xml:space="preserve"> Jul 05</v>
      </c>
      <c r="H97" s="1" t="str">
        <f t="shared" si="10"/>
        <v xml:space="preserve"> Jan 10</v>
      </c>
      <c r="I97" s="1" t="s">
        <v>0</v>
      </c>
      <c r="J97" s="198" t="s">
        <v>794</v>
      </c>
      <c r="K97" s="196" t="s">
        <v>607</v>
      </c>
      <c r="L97" t="s">
        <v>779</v>
      </c>
      <c r="M97" s="196" t="s">
        <v>612</v>
      </c>
    </row>
    <row r="98" spans="3:14" x14ac:dyDescent="0.25">
      <c r="C98" s="1">
        <f t="shared" si="11"/>
        <v>2830</v>
      </c>
      <c r="D98" s="1">
        <v>13</v>
      </c>
      <c r="E98" s="200">
        <v>34.799999999999997</v>
      </c>
      <c r="F98" s="61" t="s">
        <v>660</v>
      </c>
      <c r="G98" s="16" t="str">
        <f t="shared" si="9"/>
        <v xml:space="preserve"> Jul 05</v>
      </c>
      <c r="H98" s="1" t="str">
        <f t="shared" si="10"/>
        <v xml:space="preserve"> Dec 04</v>
      </c>
      <c r="I98" s="1" t="s">
        <v>0</v>
      </c>
      <c r="J98" s="198" t="s">
        <v>794</v>
      </c>
      <c r="K98" s="196" t="s">
        <v>607</v>
      </c>
      <c r="L98" t="s">
        <v>789</v>
      </c>
      <c r="M98" s="196" t="s">
        <v>606</v>
      </c>
    </row>
    <row r="99" spans="3:14" x14ac:dyDescent="0.25">
      <c r="C99" s="1">
        <f t="shared" si="11"/>
        <v>2830</v>
      </c>
      <c r="D99" s="1">
        <v>14</v>
      </c>
      <c r="E99" s="200">
        <v>28</v>
      </c>
      <c r="F99" s="61" t="s">
        <v>655</v>
      </c>
      <c r="G99" s="16" t="str">
        <f t="shared" si="9"/>
        <v xml:space="preserve"> Jul 05</v>
      </c>
      <c r="H99" s="1" t="str">
        <f t="shared" si="10"/>
        <v xml:space="preserve"> Dec 01</v>
      </c>
      <c r="I99" s="1" t="s">
        <v>0</v>
      </c>
      <c r="J99" s="198" t="s">
        <v>794</v>
      </c>
      <c r="K99" s="196" t="s">
        <v>607</v>
      </c>
      <c r="L99" t="s">
        <v>789</v>
      </c>
      <c r="M99" s="196" t="s">
        <v>603</v>
      </c>
    </row>
    <row r="100" spans="3:14" x14ac:dyDescent="0.25">
      <c r="C100" s="1">
        <f t="shared" si="11"/>
        <v>2830</v>
      </c>
      <c r="D100" s="1">
        <v>15</v>
      </c>
      <c r="E100" s="200">
        <v>43.9</v>
      </c>
      <c r="F100" s="61" t="s">
        <v>795</v>
      </c>
      <c r="G100" s="16" t="str">
        <f t="shared" si="9"/>
        <v xml:space="preserve"> Jun 20</v>
      </c>
      <c r="H100" s="1" t="str">
        <f t="shared" si="10"/>
        <v xml:space="preserve"> Jan 02</v>
      </c>
      <c r="I100" s="1" t="s">
        <v>0</v>
      </c>
      <c r="J100" s="198" t="s">
        <v>788</v>
      </c>
      <c r="K100" s="196" t="s">
        <v>792</v>
      </c>
      <c r="L100" t="s">
        <v>779</v>
      </c>
      <c r="M100" s="196" t="s">
        <v>604</v>
      </c>
    </row>
    <row r="101" spans="3:14" x14ac:dyDescent="0.25">
      <c r="C101" s="1">
        <f t="shared" si="11"/>
        <v>2830</v>
      </c>
      <c r="D101" s="1">
        <v>16</v>
      </c>
      <c r="E101" s="201">
        <v>23.6</v>
      </c>
      <c r="F101" s="61" t="s">
        <v>796</v>
      </c>
      <c r="G101" s="16" t="str">
        <f t="shared" si="9"/>
        <v xml:space="preserve"> Jul 04</v>
      </c>
      <c r="H101" s="1" t="str">
        <f t="shared" si="10"/>
        <v xml:space="preserve"> Feb 04</v>
      </c>
      <c r="I101" s="1" t="s">
        <v>0</v>
      </c>
      <c r="J101" s="198" t="s">
        <v>794</v>
      </c>
      <c r="K101" s="196" t="s">
        <v>606</v>
      </c>
      <c r="L101" t="s">
        <v>791</v>
      </c>
      <c r="M101" s="196" t="s">
        <v>606</v>
      </c>
    </row>
    <row r="102" spans="3:14" x14ac:dyDescent="0.25">
      <c r="C102" s="154">
        <v>2831</v>
      </c>
      <c r="D102" s="156">
        <v>1</v>
      </c>
      <c r="E102" s="199">
        <v>33.6</v>
      </c>
      <c r="F102" s="129" t="s">
        <v>776</v>
      </c>
      <c r="G102" s="83" t="str">
        <f>" " &amp; J102 &amp; " " &amp; K102</f>
        <v xml:space="preserve"> Sep 25</v>
      </c>
      <c r="H102" s="156" t="str">
        <f>" " &amp; L102 &amp; " " &amp; M102</f>
        <v xml:space="preserve"> Jan 09</v>
      </c>
      <c r="I102" s="156" t="s">
        <v>0</v>
      </c>
      <c r="J102" s="146" t="s">
        <v>777</v>
      </c>
      <c r="K102" s="195" t="s">
        <v>778</v>
      </c>
      <c r="L102" s="146" t="s">
        <v>779</v>
      </c>
      <c r="M102" s="195" t="s">
        <v>611</v>
      </c>
      <c r="N102" s="146" t="s">
        <v>1144</v>
      </c>
    </row>
    <row r="103" spans="3:14" x14ac:dyDescent="0.25">
      <c r="C103" s="1">
        <f>C102</f>
        <v>2831</v>
      </c>
      <c r="D103" s="1">
        <v>2</v>
      </c>
      <c r="E103" s="200">
        <v>31.5</v>
      </c>
      <c r="F103" s="61" t="s">
        <v>781</v>
      </c>
      <c r="G103" s="16" t="str">
        <f t="shared" ref="G103:G117" si="12">" " &amp; J103 &amp; " " &amp; K103</f>
        <v xml:space="preserve"> Oct 02</v>
      </c>
      <c r="H103" s="1" t="str">
        <f t="shared" ref="H103:H117" si="13">" " &amp; L103 &amp; " " &amp; M103</f>
        <v xml:space="preserve"> Jan 10</v>
      </c>
      <c r="I103" s="1" t="s">
        <v>0</v>
      </c>
      <c r="J103" t="s">
        <v>782</v>
      </c>
      <c r="K103" s="196" t="s">
        <v>604</v>
      </c>
      <c r="L103" t="s">
        <v>779</v>
      </c>
      <c r="M103" s="196" t="s">
        <v>612</v>
      </c>
      <c r="N103" s="197" t="s">
        <v>783</v>
      </c>
    </row>
    <row r="104" spans="3:14" x14ac:dyDescent="0.25">
      <c r="C104" s="1">
        <f t="shared" ref="C104:C117" si="14">C103</f>
        <v>2831</v>
      </c>
      <c r="D104" s="1">
        <v>3</v>
      </c>
      <c r="E104" s="200">
        <v>39.200000000000003</v>
      </c>
      <c r="F104" s="61" t="s">
        <v>784</v>
      </c>
      <c r="G104" s="16" t="str">
        <f t="shared" si="12"/>
        <v xml:space="preserve"> Sep 26</v>
      </c>
      <c r="H104" s="1" t="str">
        <f t="shared" si="13"/>
        <v xml:space="preserve"> Nov 27</v>
      </c>
      <c r="I104" s="1" t="s">
        <v>0</v>
      </c>
      <c r="J104" s="198" t="s">
        <v>777</v>
      </c>
      <c r="K104" s="196" t="s">
        <v>785</v>
      </c>
      <c r="L104" t="s">
        <v>786</v>
      </c>
      <c r="M104" s="196" t="s">
        <v>787</v>
      </c>
    </row>
    <row r="105" spans="3:14" x14ac:dyDescent="0.25">
      <c r="C105" s="1">
        <f t="shared" si="14"/>
        <v>2831</v>
      </c>
      <c r="D105" s="1">
        <v>4</v>
      </c>
      <c r="E105" s="200">
        <v>38.299999999999997</v>
      </c>
      <c r="F105" s="61" t="s">
        <v>663</v>
      </c>
      <c r="G105" s="16" t="str">
        <f t="shared" si="12"/>
        <v xml:space="preserve"> Jun 27</v>
      </c>
      <c r="H105" s="1" t="str">
        <f t="shared" si="13"/>
        <v xml:space="preserve"> Dec 02</v>
      </c>
      <c r="I105" s="1" t="s">
        <v>0</v>
      </c>
      <c r="J105" s="198" t="s">
        <v>788</v>
      </c>
      <c r="K105" s="196" t="s">
        <v>787</v>
      </c>
      <c r="L105" t="s">
        <v>789</v>
      </c>
      <c r="M105" s="196" t="s">
        <v>604</v>
      </c>
    </row>
    <row r="106" spans="3:14" x14ac:dyDescent="0.25">
      <c r="C106" s="1">
        <f t="shared" si="14"/>
        <v>2831</v>
      </c>
      <c r="D106" s="1">
        <v>5</v>
      </c>
      <c r="E106" s="200">
        <v>33.299999999999997</v>
      </c>
      <c r="F106" s="61" t="s">
        <v>649</v>
      </c>
      <c r="G106" s="16" t="str">
        <f t="shared" si="12"/>
        <v xml:space="preserve"> Sep 26</v>
      </c>
      <c r="H106" s="1" t="str">
        <f t="shared" si="13"/>
        <v xml:space="preserve"> Dec 01</v>
      </c>
      <c r="I106" s="1" t="s">
        <v>0</v>
      </c>
      <c r="J106" t="s">
        <v>777</v>
      </c>
      <c r="K106" s="196" t="s">
        <v>785</v>
      </c>
      <c r="L106" t="s">
        <v>789</v>
      </c>
      <c r="M106" s="196" t="s">
        <v>603</v>
      </c>
    </row>
    <row r="107" spans="3:14" x14ac:dyDescent="0.25">
      <c r="C107" s="1">
        <f t="shared" si="14"/>
        <v>2831</v>
      </c>
      <c r="D107" s="1">
        <v>6</v>
      </c>
      <c r="E107" s="200">
        <v>43.9</v>
      </c>
      <c r="F107" s="61" t="s">
        <v>647</v>
      </c>
      <c r="G107" s="16" t="str">
        <f t="shared" si="12"/>
        <v xml:space="preserve"> Sep 26</v>
      </c>
      <c r="H107" s="1" t="str">
        <f t="shared" si="13"/>
        <v xml:space="preserve"> Dec 06</v>
      </c>
      <c r="I107" s="1" t="s">
        <v>0</v>
      </c>
      <c r="J107" t="s">
        <v>777</v>
      </c>
      <c r="K107" s="196" t="s">
        <v>785</v>
      </c>
      <c r="L107" t="s">
        <v>789</v>
      </c>
      <c r="M107" s="196" t="s">
        <v>608</v>
      </c>
    </row>
    <row r="108" spans="3:14" x14ac:dyDescent="0.25">
      <c r="C108" s="1">
        <f t="shared" si="14"/>
        <v>2831</v>
      </c>
      <c r="D108" s="1">
        <v>7</v>
      </c>
      <c r="E108" s="200">
        <v>47.2</v>
      </c>
      <c r="F108" s="61" t="s">
        <v>790</v>
      </c>
      <c r="G108" s="16" t="str">
        <f t="shared" si="12"/>
        <v xml:space="preserve"> Sep 26</v>
      </c>
      <c r="H108" s="1" t="str">
        <f t="shared" si="13"/>
        <v xml:space="preserve"> Feb 15</v>
      </c>
      <c r="I108" s="1" t="s">
        <v>0</v>
      </c>
      <c r="J108" t="s">
        <v>777</v>
      </c>
      <c r="K108" s="196" t="s">
        <v>785</v>
      </c>
      <c r="L108" t="s">
        <v>791</v>
      </c>
      <c r="M108" s="196" t="s">
        <v>615</v>
      </c>
    </row>
    <row r="109" spans="3:14" x14ac:dyDescent="0.25">
      <c r="C109" s="1">
        <f t="shared" si="14"/>
        <v>2831</v>
      </c>
      <c r="D109" s="1">
        <v>8</v>
      </c>
      <c r="E109" s="200">
        <v>42.8</v>
      </c>
      <c r="F109" s="61" t="s">
        <v>402</v>
      </c>
      <c r="G109" s="16" t="str">
        <f t="shared" si="12"/>
        <v xml:space="preserve"> Jun 20</v>
      </c>
      <c r="H109" s="1" t="str">
        <f t="shared" si="13"/>
        <v xml:space="preserve"> Dec 01</v>
      </c>
      <c r="I109" s="1" t="s">
        <v>0</v>
      </c>
      <c r="J109" s="198" t="s">
        <v>788</v>
      </c>
      <c r="K109" s="196" t="s">
        <v>792</v>
      </c>
      <c r="L109" t="s">
        <v>789</v>
      </c>
      <c r="M109" s="196" t="s">
        <v>603</v>
      </c>
    </row>
    <row r="110" spans="3:14" x14ac:dyDescent="0.25">
      <c r="C110" s="1">
        <f t="shared" si="14"/>
        <v>2831</v>
      </c>
      <c r="D110" s="1">
        <v>9</v>
      </c>
      <c r="E110" s="200">
        <v>41.3</v>
      </c>
      <c r="F110" s="61" t="s">
        <v>655</v>
      </c>
      <c r="G110" s="16" t="str">
        <f t="shared" si="12"/>
        <v xml:space="preserve"> Jun 20</v>
      </c>
      <c r="H110" s="1" t="str">
        <f t="shared" si="13"/>
        <v xml:space="preserve"> Dec 01</v>
      </c>
      <c r="I110" s="1" t="s">
        <v>0</v>
      </c>
      <c r="J110" s="198" t="s">
        <v>788</v>
      </c>
      <c r="K110" s="196" t="s">
        <v>792</v>
      </c>
      <c r="L110" t="s">
        <v>789</v>
      </c>
      <c r="M110" s="196" t="s">
        <v>603</v>
      </c>
    </row>
    <row r="111" spans="3:14" x14ac:dyDescent="0.25">
      <c r="C111" s="1">
        <f t="shared" si="14"/>
        <v>2831</v>
      </c>
      <c r="D111" s="1">
        <v>10</v>
      </c>
      <c r="E111" s="200">
        <v>38.9</v>
      </c>
      <c r="F111" s="61" t="s">
        <v>793</v>
      </c>
      <c r="G111" s="16" t="str">
        <f t="shared" si="12"/>
        <v xml:space="preserve"> Jun 20</v>
      </c>
      <c r="H111" s="1" t="str">
        <f t="shared" si="13"/>
        <v xml:space="preserve"> Dec 01</v>
      </c>
      <c r="I111" s="1" t="s">
        <v>0</v>
      </c>
      <c r="J111" s="198" t="s">
        <v>788</v>
      </c>
      <c r="K111" s="196" t="s">
        <v>792</v>
      </c>
      <c r="L111" t="s">
        <v>789</v>
      </c>
      <c r="M111" s="196" t="s">
        <v>603</v>
      </c>
    </row>
    <row r="112" spans="3:14" x14ac:dyDescent="0.25">
      <c r="C112" s="1">
        <f t="shared" si="14"/>
        <v>2831</v>
      </c>
      <c r="D112" s="1">
        <v>11</v>
      </c>
      <c r="E112" s="200">
        <v>33.299999999999997</v>
      </c>
      <c r="F112" s="61" t="s">
        <v>657</v>
      </c>
      <c r="G112" s="16" t="str">
        <f t="shared" si="12"/>
        <v xml:space="preserve"> Jul 04</v>
      </c>
      <c r="H112" s="1" t="str">
        <f t="shared" si="13"/>
        <v xml:space="preserve"> Jan 10</v>
      </c>
      <c r="I112" s="1" t="s">
        <v>0</v>
      </c>
      <c r="J112" s="198" t="s">
        <v>794</v>
      </c>
      <c r="K112" s="196" t="s">
        <v>606</v>
      </c>
      <c r="L112" t="s">
        <v>779</v>
      </c>
      <c r="M112" s="196" t="s">
        <v>612</v>
      </c>
    </row>
    <row r="113" spans="3:14" x14ac:dyDescent="0.25">
      <c r="C113" s="1">
        <f t="shared" si="14"/>
        <v>2831</v>
      </c>
      <c r="D113" s="1">
        <v>12</v>
      </c>
      <c r="E113" s="200">
        <v>34</v>
      </c>
      <c r="F113" s="61" t="s">
        <v>793</v>
      </c>
      <c r="G113" s="16" t="str">
        <f t="shared" si="12"/>
        <v xml:space="preserve"> Jul 05</v>
      </c>
      <c r="H113" s="1" t="str">
        <f t="shared" si="13"/>
        <v xml:space="preserve"> Jan 10</v>
      </c>
      <c r="I113" s="1" t="s">
        <v>0</v>
      </c>
      <c r="J113" s="198" t="s">
        <v>794</v>
      </c>
      <c r="K113" s="196" t="s">
        <v>607</v>
      </c>
      <c r="L113" t="s">
        <v>779</v>
      </c>
      <c r="M113" s="196" t="s">
        <v>612</v>
      </c>
    </row>
    <row r="114" spans="3:14" x14ac:dyDescent="0.25">
      <c r="C114" s="1">
        <f t="shared" si="14"/>
        <v>2831</v>
      </c>
      <c r="D114" s="1">
        <v>13</v>
      </c>
      <c r="E114" s="200">
        <v>34.799999999999997</v>
      </c>
      <c r="F114" s="61" t="s">
        <v>660</v>
      </c>
      <c r="G114" s="16" t="str">
        <f t="shared" si="12"/>
        <v xml:space="preserve"> Jul 05</v>
      </c>
      <c r="H114" s="1" t="str">
        <f t="shared" si="13"/>
        <v xml:space="preserve"> Dec 04</v>
      </c>
      <c r="I114" s="1" t="s">
        <v>0</v>
      </c>
      <c r="J114" s="198" t="s">
        <v>794</v>
      </c>
      <c r="K114" s="196" t="s">
        <v>607</v>
      </c>
      <c r="L114" t="s">
        <v>789</v>
      </c>
      <c r="M114" s="196" t="s">
        <v>606</v>
      </c>
    </row>
    <row r="115" spans="3:14" x14ac:dyDescent="0.25">
      <c r="C115" s="1">
        <f t="shared" si="14"/>
        <v>2831</v>
      </c>
      <c r="D115" s="1">
        <v>14</v>
      </c>
      <c r="E115" s="200">
        <v>28</v>
      </c>
      <c r="F115" s="61" t="s">
        <v>655</v>
      </c>
      <c r="G115" s="16" t="str">
        <f t="shared" si="12"/>
        <v xml:space="preserve"> Jul 05</v>
      </c>
      <c r="H115" s="1" t="str">
        <f t="shared" si="13"/>
        <v xml:space="preserve"> Dec 01</v>
      </c>
      <c r="I115" s="1" t="s">
        <v>0</v>
      </c>
      <c r="J115" s="198" t="s">
        <v>794</v>
      </c>
      <c r="K115" s="196" t="s">
        <v>607</v>
      </c>
      <c r="L115" t="s">
        <v>789</v>
      </c>
      <c r="M115" s="196" t="s">
        <v>603</v>
      </c>
    </row>
    <row r="116" spans="3:14" x14ac:dyDescent="0.25">
      <c r="C116" s="1">
        <f t="shared" si="14"/>
        <v>2831</v>
      </c>
      <c r="D116" s="1">
        <v>15</v>
      </c>
      <c r="E116" s="200">
        <v>43.9</v>
      </c>
      <c r="F116" s="61" t="s">
        <v>795</v>
      </c>
      <c r="G116" s="16" t="str">
        <f t="shared" si="12"/>
        <v xml:space="preserve"> Jun 20</v>
      </c>
      <c r="H116" s="1" t="str">
        <f t="shared" si="13"/>
        <v xml:space="preserve"> Jan 02</v>
      </c>
      <c r="I116" s="1" t="s">
        <v>0</v>
      </c>
      <c r="J116" s="198" t="s">
        <v>788</v>
      </c>
      <c r="K116" s="196" t="s">
        <v>792</v>
      </c>
      <c r="L116" t="s">
        <v>779</v>
      </c>
      <c r="M116" s="196" t="s">
        <v>604</v>
      </c>
    </row>
    <row r="117" spans="3:14" x14ac:dyDescent="0.25">
      <c r="C117" s="1">
        <f t="shared" si="14"/>
        <v>2831</v>
      </c>
      <c r="D117" s="1">
        <v>16</v>
      </c>
      <c r="E117" s="201">
        <v>23.6</v>
      </c>
      <c r="F117" s="61" t="s">
        <v>796</v>
      </c>
      <c r="G117" s="16" t="str">
        <f t="shared" si="12"/>
        <v xml:space="preserve"> Jul 04</v>
      </c>
      <c r="H117" s="1" t="str">
        <f t="shared" si="13"/>
        <v xml:space="preserve"> Feb 04</v>
      </c>
      <c r="I117" s="1" t="s">
        <v>0</v>
      </c>
      <c r="J117" s="198" t="s">
        <v>794</v>
      </c>
      <c r="K117" s="196" t="s">
        <v>606</v>
      </c>
      <c r="L117" t="s">
        <v>791</v>
      </c>
      <c r="M117" s="196" t="s">
        <v>606</v>
      </c>
    </row>
    <row r="118" spans="3:14" x14ac:dyDescent="0.25">
      <c r="C118" s="154">
        <v>2832</v>
      </c>
      <c r="D118" s="156">
        <v>1</v>
      </c>
      <c r="E118" s="199">
        <v>33.6</v>
      </c>
      <c r="F118" s="129" t="s">
        <v>776</v>
      </c>
      <c r="G118" s="83" t="str">
        <f>" " &amp; J118 &amp; " " &amp; K118</f>
        <v xml:space="preserve"> Sep 25</v>
      </c>
      <c r="H118" s="156" t="str">
        <f>" " &amp; L118 &amp; " " &amp; M118</f>
        <v xml:space="preserve"> Jan 09</v>
      </c>
      <c r="I118" s="156" t="s">
        <v>0</v>
      </c>
      <c r="J118" s="146" t="s">
        <v>777</v>
      </c>
      <c r="K118" s="195" t="s">
        <v>778</v>
      </c>
      <c r="L118" s="146" t="s">
        <v>779</v>
      </c>
      <c r="M118" s="195" t="s">
        <v>611</v>
      </c>
      <c r="N118" s="146" t="s">
        <v>1145</v>
      </c>
    </row>
    <row r="119" spans="3:14" x14ac:dyDescent="0.25">
      <c r="C119" s="1">
        <f>C118</f>
        <v>2832</v>
      </c>
      <c r="D119" s="1">
        <v>2</v>
      </c>
      <c r="E119" s="200">
        <v>31.5</v>
      </c>
      <c r="F119" s="61" t="s">
        <v>781</v>
      </c>
      <c r="G119" s="16" t="str">
        <f t="shared" ref="G119:G133" si="15">" " &amp; J119 &amp; " " &amp; K119</f>
        <v xml:space="preserve"> Oct 02</v>
      </c>
      <c r="H119" s="1" t="str">
        <f t="shared" ref="H119:H133" si="16">" " &amp; L119 &amp; " " &amp; M119</f>
        <v xml:space="preserve"> Jan 10</v>
      </c>
      <c r="I119" s="1" t="s">
        <v>0</v>
      </c>
      <c r="J119" t="s">
        <v>782</v>
      </c>
      <c r="K119" s="196" t="s">
        <v>604</v>
      </c>
      <c r="L119" t="s">
        <v>779</v>
      </c>
      <c r="M119" s="196" t="s">
        <v>612</v>
      </c>
      <c r="N119" s="197" t="s">
        <v>783</v>
      </c>
    </row>
    <row r="120" spans="3:14" x14ac:dyDescent="0.25">
      <c r="C120" s="1">
        <f t="shared" ref="C120:C133" si="17">C119</f>
        <v>2832</v>
      </c>
      <c r="D120" s="1">
        <v>3</v>
      </c>
      <c r="E120" s="200">
        <v>39.200000000000003</v>
      </c>
      <c r="F120" s="61" t="s">
        <v>784</v>
      </c>
      <c r="G120" s="16" t="str">
        <f t="shared" si="15"/>
        <v xml:space="preserve"> Sep 26</v>
      </c>
      <c r="H120" s="1" t="str">
        <f t="shared" si="16"/>
        <v xml:space="preserve"> Nov 27</v>
      </c>
      <c r="I120" s="1" t="s">
        <v>0</v>
      </c>
      <c r="J120" s="198" t="s">
        <v>777</v>
      </c>
      <c r="K120" s="196" t="s">
        <v>785</v>
      </c>
      <c r="L120" t="s">
        <v>786</v>
      </c>
      <c r="M120" s="196" t="s">
        <v>787</v>
      </c>
    </row>
    <row r="121" spans="3:14" x14ac:dyDescent="0.25">
      <c r="C121" s="1">
        <f t="shared" si="17"/>
        <v>2832</v>
      </c>
      <c r="D121" s="1">
        <v>4</v>
      </c>
      <c r="E121" s="200">
        <v>38.299999999999997</v>
      </c>
      <c r="F121" s="61" t="s">
        <v>663</v>
      </c>
      <c r="G121" s="16" t="str">
        <f t="shared" si="15"/>
        <v xml:space="preserve"> Jun 27</v>
      </c>
      <c r="H121" s="1" t="str">
        <f t="shared" si="16"/>
        <v xml:space="preserve"> Dec 02</v>
      </c>
      <c r="I121" s="1" t="s">
        <v>0</v>
      </c>
      <c r="J121" s="198" t="s">
        <v>788</v>
      </c>
      <c r="K121" s="196" t="s">
        <v>787</v>
      </c>
      <c r="L121" t="s">
        <v>789</v>
      </c>
      <c r="M121" s="196" t="s">
        <v>604</v>
      </c>
    </row>
    <row r="122" spans="3:14" x14ac:dyDescent="0.25">
      <c r="C122" s="1">
        <f t="shared" si="17"/>
        <v>2832</v>
      </c>
      <c r="D122" s="1">
        <v>5</v>
      </c>
      <c r="E122" s="200">
        <v>33.299999999999997</v>
      </c>
      <c r="F122" s="61" t="s">
        <v>649</v>
      </c>
      <c r="G122" s="16" t="str">
        <f t="shared" si="15"/>
        <v xml:space="preserve"> Sep 26</v>
      </c>
      <c r="H122" s="1" t="str">
        <f t="shared" si="16"/>
        <v xml:space="preserve"> Dec 01</v>
      </c>
      <c r="I122" s="1" t="s">
        <v>0</v>
      </c>
      <c r="J122" t="s">
        <v>777</v>
      </c>
      <c r="K122" s="196" t="s">
        <v>785</v>
      </c>
      <c r="L122" t="s">
        <v>789</v>
      </c>
      <c r="M122" s="196" t="s">
        <v>603</v>
      </c>
    </row>
    <row r="123" spans="3:14" x14ac:dyDescent="0.25">
      <c r="C123" s="1">
        <f t="shared" si="17"/>
        <v>2832</v>
      </c>
      <c r="D123" s="1">
        <v>6</v>
      </c>
      <c r="E123" s="200">
        <v>43.9</v>
      </c>
      <c r="F123" s="61" t="s">
        <v>647</v>
      </c>
      <c r="G123" s="16" t="str">
        <f t="shared" si="15"/>
        <v xml:space="preserve"> Sep 26</v>
      </c>
      <c r="H123" s="1" t="str">
        <f t="shared" si="16"/>
        <v xml:space="preserve"> Dec 06</v>
      </c>
      <c r="I123" s="1" t="s">
        <v>0</v>
      </c>
      <c r="J123" t="s">
        <v>777</v>
      </c>
      <c r="K123" s="196" t="s">
        <v>785</v>
      </c>
      <c r="L123" t="s">
        <v>789</v>
      </c>
      <c r="M123" s="196" t="s">
        <v>608</v>
      </c>
    </row>
    <row r="124" spans="3:14" x14ac:dyDescent="0.25">
      <c r="C124" s="1">
        <f t="shared" si="17"/>
        <v>2832</v>
      </c>
      <c r="D124" s="1">
        <v>7</v>
      </c>
      <c r="E124" s="200">
        <v>47.2</v>
      </c>
      <c r="F124" s="61" t="s">
        <v>790</v>
      </c>
      <c r="G124" s="16" t="str">
        <f t="shared" si="15"/>
        <v xml:space="preserve"> Sep 26</v>
      </c>
      <c r="H124" s="1" t="str">
        <f t="shared" si="16"/>
        <v xml:space="preserve"> Feb 15</v>
      </c>
      <c r="I124" s="1" t="s">
        <v>0</v>
      </c>
      <c r="J124" t="s">
        <v>777</v>
      </c>
      <c r="K124" s="196" t="s">
        <v>785</v>
      </c>
      <c r="L124" t="s">
        <v>791</v>
      </c>
      <c r="M124" s="196" t="s">
        <v>615</v>
      </c>
    </row>
    <row r="125" spans="3:14" x14ac:dyDescent="0.25">
      <c r="C125" s="1">
        <f t="shared" si="17"/>
        <v>2832</v>
      </c>
      <c r="D125" s="1">
        <v>8</v>
      </c>
      <c r="E125" s="200">
        <v>42.8</v>
      </c>
      <c r="F125" s="61" t="s">
        <v>402</v>
      </c>
      <c r="G125" s="16" t="str">
        <f t="shared" si="15"/>
        <v xml:space="preserve"> Jun 20</v>
      </c>
      <c r="H125" s="1" t="str">
        <f t="shared" si="16"/>
        <v xml:space="preserve"> Dec 01</v>
      </c>
      <c r="I125" s="1" t="s">
        <v>0</v>
      </c>
      <c r="J125" s="198" t="s">
        <v>788</v>
      </c>
      <c r="K125" s="196" t="s">
        <v>792</v>
      </c>
      <c r="L125" t="s">
        <v>789</v>
      </c>
      <c r="M125" s="196" t="s">
        <v>603</v>
      </c>
    </row>
    <row r="126" spans="3:14" x14ac:dyDescent="0.25">
      <c r="C126" s="1">
        <f t="shared" si="17"/>
        <v>2832</v>
      </c>
      <c r="D126" s="1">
        <v>9</v>
      </c>
      <c r="E126" s="200">
        <v>41.3</v>
      </c>
      <c r="F126" s="61" t="s">
        <v>655</v>
      </c>
      <c r="G126" s="16" t="str">
        <f t="shared" si="15"/>
        <v xml:space="preserve"> Jun 20</v>
      </c>
      <c r="H126" s="1" t="str">
        <f t="shared" si="16"/>
        <v xml:space="preserve"> Dec 01</v>
      </c>
      <c r="I126" s="1" t="s">
        <v>0</v>
      </c>
      <c r="J126" s="198" t="s">
        <v>788</v>
      </c>
      <c r="K126" s="196" t="s">
        <v>792</v>
      </c>
      <c r="L126" t="s">
        <v>789</v>
      </c>
      <c r="M126" s="196" t="s">
        <v>603</v>
      </c>
    </row>
    <row r="127" spans="3:14" x14ac:dyDescent="0.25">
      <c r="C127" s="1">
        <f t="shared" si="17"/>
        <v>2832</v>
      </c>
      <c r="D127" s="1">
        <v>10</v>
      </c>
      <c r="E127" s="200">
        <v>38.9</v>
      </c>
      <c r="F127" s="61" t="s">
        <v>793</v>
      </c>
      <c r="G127" s="16" t="str">
        <f t="shared" si="15"/>
        <v xml:space="preserve"> Jun 20</v>
      </c>
      <c r="H127" s="1" t="str">
        <f t="shared" si="16"/>
        <v xml:space="preserve"> Dec 01</v>
      </c>
      <c r="I127" s="1" t="s">
        <v>0</v>
      </c>
      <c r="J127" s="198" t="s">
        <v>788</v>
      </c>
      <c r="K127" s="196" t="s">
        <v>792</v>
      </c>
      <c r="L127" t="s">
        <v>789</v>
      </c>
      <c r="M127" s="196" t="s">
        <v>603</v>
      </c>
    </row>
    <row r="128" spans="3:14" x14ac:dyDescent="0.25">
      <c r="C128" s="1">
        <f t="shared" si="17"/>
        <v>2832</v>
      </c>
      <c r="D128" s="1">
        <v>11</v>
      </c>
      <c r="E128" s="200">
        <v>33.299999999999997</v>
      </c>
      <c r="F128" s="61" t="s">
        <v>657</v>
      </c>
      <c r="G128" s="16" t="str">
        <f t="shared" si="15"/>
        <v xml:space="preserve"> Jul 04</v>
      </c>
      <c r="H128" s="1" t="str">
        <f t="shared" si="16"/>
        <v xml:space="preserve"> Jan 10</v>
      </c>
      <c r="I128" s="1" t="s">
        <v>0</v>
      </c>
      <c r="J128" s="198" t="s">
        <v>794</v>
      </c>
      <c r="K128" s="196" t="s">
        <v>606</v>
      </c>
      <c r="L128" t="s">
        <v>779</v>
      </c>
      <c r="M128" s="196" t="s">
        <v>612</v>
      </c>
    </row>
    <row r="129" spans="3:14" x14ac:dyDescent="0.25">
      <c r="C129" s="1">
        <f t="shared" si="17"/>
        <v>2832</v>
      </c>
      <c r="D129" s="1">
        <v>12</v>
      </c>
      <c r="E129" s="200">
        <v>34</v>
      </c>
      <c r="F129" s="61" t="s">
        <v>793</v>
      </c>
      <c r="G129" s="16" t="str">
        <f t="shared" si="15"/>
        <v xml:space="preserve"> Jul 05</v>
      </c>
      <c r="H129" s="1" t="str">
        <f t="shared" si="16"/>
        <v xml:space="preserve"> Jan 10</v>
      </c>
      <c r="I129" s="1" t="s">
        <v>0</v>
      </c>
      <c r="J129" s="198" t="s">
        <v>794</v>
      </c>
      <c r="K129" s="196" t="s">
        <v>607</v>
      </c>
      <c r="L129" t="s">
        <v>779</v>
      </c>
      <c r="M129" s="196" t="s">
        <v>612</v>
      </c>
    </row>
    <row r="130" spans="3:14" x14ac:dyDescent="0.25">
      <c r="C130" s="1">
        <f t="shared" si="17"/>
        <v>2832</v>
      </c>
      <c r="D130" s="1">
        <v>13</v>
      </c>
      <c r="E130" s="200">
        <v>34.799999999999997</v>
      </c>
      <c r="F130" s="61" t="s">
        <v>660</v>
      </c>
      <c r="G130" s="16" t="str">
        <f t="shared" si="15"/>
        <v xml:space="preserve"> Jul 05</v>
      </c>
      <c r="H130" s="1" t="str">
        <f t="shared" si="16"/>
        <v xml:space="preserve"> Dec 04</v>
      </c>
      <c r="I130" s="1" t="s">
        <v>0</v>
      </c>
      <c r="J130" s="198" t="s">
        <v>794</v>
      </c>
      <c r="K130" s="196" t="s">
        <v>607</v>
      </c>
      <c r="L130" t="s">
        <v>789</v>
      </c>
      <c r="M130" s="196" t="s">
        <v>606</v>
      </c>
    </row>
    <row r="131" spans="3:14" x14ac:dyDescent="0.25">
      <c r="C131" s="1">
        <f t="shared" si="17"/>
        <v>2832</v>
      </c>
      <c r="D131" s="1">
        <v>14</v>
      </c>
      <c r="E131" s="200">
        <v>28</v>
      </c>
      <c r="F131" s="61" t="s">
        <v>655</v>
      </c>
      <c r="G131" s="16" t="str">
        <f t="shared" si="15"/>
        <v xml:space="preserve"> Jul 05</v>
      </c>
      <c r="H131" s="1" t="str">
        <f t="shared" si="16"/>
        <v xml:space="preserve"> Dec 01</v>
      </c>
      <c r="I131" s="1" t="s">
        <v>0</v>
      </c>
      <c r="J131" s="198" t="s">
        <v>794</v>
      </c>
      <c r="K131" s="196" t="s">
        <v>607</v>
      </c>
      <c r="L131" t="s">
        <v>789</v>
      </c>
      <c r="M131" s="196" t="s">
        <v>603</v>
      </c>
    </row>
    <row r="132" spans="3:14" x14ac:dyDescent="0.25">
      <c r="C132" s="1">
        <f t="shared" si="17"/>
        <v>2832</v>
      </c>
      <c r="D132" s="1">
        <v>15</v>
      </c>
      <c r="E132" s="200">
        <v>43.9</v>
      </c>
      <c r="F132" s="61" t="s">
        <v>795</v>
      </c>
      <c r="G132" s="16" t="str">
        <f t="shared" si="15"/>
        <v xml:space="preserve"> Jun 20</v>
      </c>
      <c r="H132" s="1" t="str">
        <f t="shared" si="16"/>
        <v xml:space="preserve"> Jan 02</v>
      </c>
      <c r="I132" s="1" t="s">
        <v>0</v>
      </c>
      <c r="J132" s="198" t="s">
        <v>788</v>
      </c>
      <c r="K132" s="196" t="s">
        <v>792</v>
      </c>
      <c r="L132" t="s">
        <v>779</v>
      </c>
      <c r="M132" s="196" t="s">
        <v>604</v>
      </c>
    </row>
    <row r="133" spans="3:14" x14ac:dyDescent="0.25">
      <c r="C133" s="1">
        <f t="shared" si="17"/>
        <v>2832</v>
      </c>
      <c r="D133" s="1">
        <v>16</v>
      </c>
      <c r="E133" s="201">
        <v>23.6</v>
      </c>
      <c r="F133" s="61" t="s">
        <v>796</v>
      </c>
      <c r="G133" s="16" t="str">
        <f t="shared" si="15"/>
        <v xml:space="preserve"> Jul 04</v>
      </c>
      <c r="H133" s="1" t="str">
        <f t="shared" si="16"/>
        <v xml:space="preserve"> Feb 04</v>
      </c>
      <c r="I133" s="1" t="s">
        <v>0</v>
      </c>
      <c r="J133" s="198" t="s">
        <v>794</v>
      </c>
      <c r="K133" s="196" t="s">
        <v>606</v>
      </c>
      <c r="L133" t="s">
        <v>791</v>
      </c>
      <c r="M133" s="196" t="s">
        <v>606</v>
      </c>
    </row>
    <row r="134" spans="3:14" x14ac:dyDescent="0.25">
      <c r="C134" s="154">
        <v>2840</v>
      </c>
      <c r="D134" s="156">
        <v>1</v>
      </c>
      <c r="E134" s="199">
        <v>33.6</v>
      </c>
      <c r="F134" s="129" t="s">
        <v>776</v>
      </c>
      <c r="G134" s="83" t="str">
        <f>" " &amp; J134 &amp; " " &amp; K134</f>
        <v xml:space="preserve"> Sep 09</v>
      </c>
      <c r="H134" s="156" t="str">
        <f>" " &amp; L134 &amp; " " &amp; M134</f>
        <v xml:space="preserve"> Feb 05</v>
      </c>
      <c r="I134" s="156" t="s">
        <v>0</v>
      </c>
      <c r="J134" s="146" t="s">
        <v>777</v>
      </c>
      <c r="K134" s="195" t="s">
        <v>611</v>
      </c>
      <c r="L134" s="146" t="s">
        <v>791</v>
      </c>
      <c r="M134" s="195" t="s">
        <v>607</v>
      </c>
      <c r="N134" s="146" t="s">
        <v>1150</v>
      </c>
    </row>
    <row r="135" spans="3:14" x14ac:dyDescent="0.25">
      <c r="C135" s="1">
        <f>C134</f>
        <v>2840</v>
      </c>
      <c r="D135" s="1">
        <v>2</v>
      </c>
      <c r="E135" s="200">
        <v>31.5</v>
      </c>
      <c r="F135" s="61" t="s">
        <v>781</v>
      </c>
      <c r="G135" s="16" t="str">
        <f t="shared" ref="G135:G149" si="18">" " &amp; J135 &amp; " " &amp; K135</f>
        <v xml:space="preserve"> Jul 22</v>
      </c>
      <c r="H135" s="1" t="str">
        <f t="shared" ref="H135:H149" si="19">" " &amp; L135 &amp; " " &amp; M135</f>
        <v xml:space="preserve"> Feb 01</v>
      </c>
      <c r="I135" s="1" t="s">
        <v>0</v>
      </c>
      <c r="J135" s="198" t="s">
        <v>794</v>
      </c>
      <c r="K135" s="196" t="s">
        <v>1148</v>
      </c>
      <c r="L135" t="s">
        <v>791</v>
      </c>
      <c r="M135" s="196" t="s">
        <v>603</v>
      </c>
      <c r="N135" s="197" t="s">
        <v>783</v>
      </c>
    </row>
    <row r="136" spans="3:14" x14ac:dyDescent="0.25">
      <c r="C136" s="1">
        <f t="shared" ref="C136:C149" si="20">C135</f>
        <v>2840</v>
      </c>
      <c r="D136" s="1">
        <v>3</v>
      </c>
      <c r="E136" s="200">
        <v>39.200000000000003</v>
      </c>
      <c r="F136" s="61" t="s">
        <v>784</v>
      </c>
      <c r="G136" s="16" t="str">
        <f t="shared" si="18"/>
        <v xml:space="preserve"> Jul 22</v>
      </c>
      <c r="H136" s="1" t="str">
        <f t="shared" si="19"/>
        <v xml:space="preserve"> Feb 05</v>
      </c>
      <c r="I136" s="1" t="s">
        <v>0</v>
      </c>
      <c r="J136" s="198" t="s">
        <v>794</v>
      </c>
      <c r="K136" s="196" t="s">
        <v>1148</v>
      </c>
      <c r="L136" t="s">
        <v>791</v>
      </c>
      <c r="M136" s="196" t="s">
        <v>607</v>
      </c>
    </row>
    <row r="137" spans="3:14" x14ac:dyDescent="0.25">
      <c r="C137" s="1">
        <f t="shared" si="20"/>
        <v>2840</v>
      </c>
      <c r="D137" s="1">
        <v>4</v>
      </c>
      <c r="E137" s="200">
        <v>38.299999999999997</v>
      </c>
      <c r="F137" s="61" t="s">
        <v>663</v>
      </c>
      <c r="G137" s="16" t="str">
        <f t="shared" si="18"/>
        <v xml:space="preserve"> Jul 22</v>
      </c>
      <c r="H137" s="1" t="str">
        <f t="shared" si="19"/>
        <v xml:space="preserve"> Jan 01</v>
      </c>
      <c r="I137" s="1" t="s">
        <v>0</v>
      </c>
      <c r="J137" s="198" t="s">
        <v>794</v>
      </c>
      <c r="K137" s="196" t="s">
        <v>1148</v>
      </c>
      <c r="L137" t="s">
        <v>779</v>
      </c>
      <c r="M137" s="196" t="s">
        <v>603</v>
      </c>
    </row>
    <row r="138" spans="3:14" x14ac:dyDescent="0.25">
      <c r="C138" s="1">
        <f t="shared" si="20"/>
        <v>2840</v>
      </c>
      <c r="D138" s="1">
        <v>5</v>
      </c>
      <c r="E138" s="200">
        <v>33.299999999999997</v>
      </c>
      <c r="F138" s="61" t="s">
        <v>649</v>
      </c>
      <c r="G138" s="16" t="str">
        <f t="shared" si="18"/>
        <v xml:space="preserve"> Oct 17</v>
      </c>
      <c r="H138" s="1" t="str">
        <f t="shared" si="19"/>
        <v xml:space="preserve"> Dec 29</v>
      </c>
      <c r="I138" s="1" t="s">
        <v>0</v>
      </c>
      <c r="J138" t="s">
        <v>782</v>
      </c>
      <c r="K138" s="196" t="s">
        <v>797</v>
      </c>
      <c r="L138" t="s">
        <v>789</v>
      </c>
      <c r="M138" s="196" t="s">
        <v>799</v>
      </c>
    </row>
    <row r="139" spans="3:14" x14ac:dyDescent="0.25">
      <c r="C139" s="1">
        <f t="shared" si="20"/>
        <v>2840</v>
      </c>
      <c r="D139" s="1">
        <v>6</v>
      </c>
      <c r="E139" s="200">
        <v>43.9</v>
      </c>
      <c r="F139" s="61" t="s">
        <v>647</v>
      </c>
      <c r="G139" s="16" t="str">
        <f t="shared" si="18"/>
        <v xml:space="preserve"> Jun 27</v>
      </c>
      <c r="H139" s="1" t="str">
        <f t="shared" si="19"/>
        <v xml:space="preserve"> Jan 02</v>
      </c>
      <c r="I139" s="1" t="s">
        <v>0</v>
      </c>
      <c r="J139" s="198" t="s">
        <v>788</v>
      </c>
      <c r="K139" s="196" t="s">
        <v>787</v>
      </c>
      <c r="L139" t="s">
        <v>779</v>
      </c>
      <c r="M139" s="196" t="s">
        <v>604</v>
      </c>
    </row>
    <row r="140" spans="3:14" x14ac:dyDescent="0.25">
      <c r="C140" s="1">
        <f t="shared" si="20"/>
        <v>2840</v>
      </c>
      <c r="D140" s="1">
        <v>7</v>
      </c>
      <c r="E140" s="200">
        <v>47.2</v>
      </c>
      <c r="F140" s="61" t="s">
        <v>790</v>
      </c>
      <c r="G140" s="16" t="str">
        <f t="shared" si="18"/>
        <v xml:space="preserve"> Jul 22</v>
      </c>
      <c r="H140" s="1" t="str">
        <f t="shared" si="19"/>
        <v xml:space="preserve"> Jan 02</v>
      </c>
      <c r="I140" s="1" t="s">
        <v>0</v>
      </c>
      <c r="J140" s="198" t="s">
        <v>794</v>
      </c>
      <c r="K140" s="196" t="s">
        <v>1148</v>
      </c>
      <c r="L140" t="s">
        <v>779</v>
      </c>
      <c r="M140" s="196" t="s">
        <v>604</v>
      </c>
    </row>
    <row r="141" spans="3:14" x14ac:dyDescent="0.25">
      <c r="C141" s="1">
        <f t="shared" si="20"/>
        <v>2840</v>
      </c>
      <c r="D141" s="1">
        <v>8</v>
      </c>
      <c r="E141" s="200">
        <v>42.8</v>
      </c>
      <c r="F141" s="61" t="s">
        <v>402</v>
      </c>
      <c r="G141" s="16" t="str">
        <f t="shared" si="18"/>
        <v xml:space="preserve"> Jul 22</v>
      </c>
      <c r="H141" s="1" t="str">
        <f t="shared" si="19"/>
        <v xml:space="preserve"> Dec 29</v>
      </c>
      <c r="I141" s="1" t="s">
        <v>0</v>
      </c>
      <c r="J141" s="198" t="s">
        <v>794</v>
      </c>
      <c r="K141" s="196" t="s">
        <v>1148</v>
      </c>
      <c r="L141" t="s">
        <v>789</v>
      </c>
      <c r="M141" s="196" t="s">
        <v>799</v>
      </c>
    </row>
    <row r="142" spans="3:14" x14ac:dyDescent="0.25">
      <c r="C142" s="1">
        <f t="shared" si="20"/>
        <v>2840</v>
      </c>
      <c r="D142" s="1">
        <v>9</v>
      </c>
      <c r="E142" s="200">
        <v>41.3</v>
      </c>
      <c r="F142" s="61" t="s">
        <v>655</v>
      </c>
      <c r="G142" s="16" t="str">
        <f t="shared" si="18"/>
        <v xml:space="preserve"> Jul 22</v>
      </c>
      <c r="H142" s="1" t="str">
        <f t="shared" si="19"/>
        <v xml:space="preserve"> Dec 29</v>
      </c>
      <c r="I142" s="1" t="s">
        <v>0</v>
      </c>
      <c r="J142" s="198" t="s">
        <v>794</v>
      </c>
      <c r="K142" s="196" t="s">
        <v>1148</v>
      </c>
      <c r="L142" t="s">
        <v>789</v>
      </c>
      <c r="M142" s="196" t="s">
        <v>799</v>
      </c>
    </row>
    <row r="143" spans="3:14" x14ac:dyDescent="0.25">
      <c r="C143" s="1">
        <f t="shared" si="20"/>
        <v>2840</v>
      </c>
      <c r="D143" s="1">
        <v>10</v>
      </c>
      <c r="E143" s="200">
        <v>38.9</v>
      </c>
      <c r="F143" s="61" t="s">
        <v>793</v>
      </c>
      <c r="G143" s="16" t="str">
        <f t="shared" si="18"/>
        <v xml:space="preserve"> Jul 22</v>
      </c>
      <c r="H143" s="1" t="str">
        <f t="shared" si="19"/>
        <v xml:space="preserve"> Jan 04</v>
      </c>
      <c r="I143" s="1" t="s">
        <v>0</v>
      </c>
      <c r="J143" s="198" t="s">
        <v>794</v>
      </c>
      <c r="K143" s="196" t="s">
        <v>1148</v>
      </c>
      <c r="L143" t="s">
        <v>779</v>
      </c>
      <c r="M143" s="196" t="s">
        <v>606</v>
      </c>
    </row>
    <row r="144" spans="3:14" x14ac:dyDescent="0.25">
      <c r="C144" s="1">
        <f t="shared" si="20"/>
        <v>2840</v>
      </c>
      <c r="D144" s="1">
        <v>11</v>
      </c>
      <c r="E144" s="200">
        <v>33.299999999999997</v>
      </c>
      <c r="F144" s="61" t="s">
        <v>657</v>
      </c>
      <c r="G144" s="16" t="str">
        <f t="shared" si="18"/>
        <v xml:space="preserve"> Jun 25</v>
      </c>
      <c r="H144" s="1" t="str">
        <f t="shared" si="19"/>
        <v xml:space="preserve"> Feb 05</v>
      </c>
      <c r="I144" s="1" t="s">
        <v>0</v>
      </c>
      <c r="J144" s="198" t="s">
        <v>788</v>
      </c>
      <c r="K144" s="196" t="s">
        <v>778</v>
      </c>
      <c r="L144" t="s">
        <v>791</v>
      </c>
      <c r="M144" s="196" t="s">
        <v>607</v>
      </c>
    </row>
    <row r="145" spans="3:14" x14ac:dyDescent="0.25">
      <c r="C145" s="1">
        <f t="shared" si="20"/>
        <v>2840</v>
      </c>
      <c r="D145" s="1">
        <v>12</v>
      </c>
      <c r="E145" s="200">
        <v>34</v>
      </c>
      <c r="F145" s="61" t="s">
        <v>793</v>
      </c>
      <c r="G145" s="16" t="str">
        <f t="shared" si="18"/>
        <v xml:space="preserve"> Jul 23</v>
      </c>
      <c r="H145" s="1" t="str">
        <f t="shared" si="19"/>
        <v xml:space="preserve"> Jan 02</v>
      </c>
      <c r="I145" s="1" t="s">
        <v>0</v>
      </c>
      <c r="J145" s="198" t="s">
        <v>794</v>
      </c>
      <c r="K145" s="196" t="s">
        <v>1149</v>
      </c>
      <c r="L145" t="s">
        <v>779</v>
      </c>
      <c r="M145" s="196" t="s">
        <v>604</v>
      </c>
    </row>
    <row r="146" spans="3:14" x14ac:dyDescent="0.25">
      <c r="C146" s="1">
        <f t="shared" si="20"/>
        <v>2840</v>
      </c>
      <c r="D146" s="1">
        <v>13</v>
      </c>
      <c r="E146" s="200">
        <v>34.799999999999997</v>
      </c>
      <c r="F146" s="61" t="s">
        <v>660</v>
      </c>
      <c r="G146" s="16" t="str">
        <f t="shared" si="18"/>
        <v xml:space="preserve"> Jul 23</v>
      </c>
      <c r="H146" s="1" t="str">
        <f t="shared" si="19"/>
        <v xml:space="preserve"> Jan 02</v>
      </c>
      <c r="I146" s="1" t="s">
        <v>0</v>
      </c>
      <c r="J146" s="198" t="s">
        <v>794</v>
      </c>
      <c r="K146" s="196" t="s">
        <v>1149</v>
      </c>
      <c r="L146" t="s">
        <v>779</v>
      </c>
      <c r="M146" s="196" t="s">
        <v>604</v>
      </c>
    </row>
    <row r="147" spans="3:14" x14ac:dyDescent="0.25">
      <c r="C147" s="1">
        <f t="shared" si="20"/>
        <v>2840</v>
      </c>
      <c r="D147" s="1">
        <v>14</v>
      </c>
      <c r="E147" s="200">
        <v>28</v>
      </c>
      <c r="F147" s="61" t="s">
        <v>655</v>
      </c>
      <c r="G147" s="16" t="str">
        <f t="shared" si="18"/>
        <v xml:space="preserve"> Jul 15</v>
      </c>
      <c r="H147" s="1" t="str">
        <f t="shared" si="19"/>
        <v xml:space="preserve"> Jan 02</v>
      </c>
      <c r="I147" s="1" t="s">
        <v>0</v>
      </c>
      <c r="J147" s="198" t="s">
        <v>794</v>
      </c>
      <c r="K147" s="196" t="s">
        <v>615</v>
      </c>
      <c r="L147" t="s">
        <v>779</v>
      </c>
      <c r="M147" s="196" t="s">
        <v>604</v>
      </c>
    </row>
    <row r="148" spans="3:14" x14ac:dyDescent="0.25">
      <c r="C148" s="1">
        <f t="shared" si="20"/>
        <v>2840</v>
      </c>
      <c r="D148" s="1">
        <v>15</v>
      </c>
      <c r="E148" s="200">
        <v>43.9</v>
      </c>
      <c r="F148" s="61" t="s">
        <v>795</v>
      </c>
      <c r="G148" s="16" t="str">
        <f t="shared" si="18"/>
        <v xml:space="preserve"> Jul 22</v>
      </c>
      <c r="H148" s="1" t="str">
        <f t="shared" si="19"/>
        <v xml:space="preserve"> Jan 03</v>
      </c>
      <c r="I148" s="1" t="s">
        <v>0</v>
      </c>
      <c r="J148" s="198" t="s">
        <v>794</v>
      </c>
      <c r="K148" s="196" t="s">
        <v>1148</v>
      </c>
      <c r="L148" t="s">
        <v>779</v>
      </c>
      <c r="M148" s="196" t="s">
        <v>605</v>
      </c>
    </row>
    <row r="149" spans="3:14" x14ac:dyDescent="0.25">
      <c r="C149" s="1">
        <f t="shared" si="20"/>
        <v>2840</v>
      </c>
      <c r="D149" s="1">
        <v>16</v>
      </c>
      <c r="E149" s="201">
        <v>23.6</v>
      </c>
      <c r="F149" s="61" t="s">
        <v>796</v>
      </c>
      <c r="G149" s="16" t="str">
        <f t="shared" si="18"/>
        <v xml:space="preserve"> Jun 25</v>
      </c>
      <c r="H149" s="1" t="str">
        <f t="shared" si="19"/>
        <v xml:space="preserve"> Jan 01</v>
      </c>
      <c r="I149" s="1" t="s">
        <v>0</v>
      </c>
      <c r="J149" s="198" t="s">
        <v>788</v>
      </c>
      <c r="K149" s="196" t="s">
        <v>778</v>
      </c>
      <c r="L149" t="s">
        <v>779</v>
      </c>
      <c r="M149" s="196" t="s">
        <v>603</v>
      </c>
    </row>
    <row r="150" spans="3:14" x14ac:dyDescent="0.25">
      <c r="C150" s="154">
        <v>2220</v>
      </c>
      <c r="D150" s="156">
        <v>1</v>
      </c>
      <c r="E150" s="8">
        <v>33.6</v>
      </c>
      <c r="F150" s="156" t="str">
        <f>" " &amp; J150 &amp; " " &amp; K150</f>
        <v xml:space="preserve"> Oct 14</v>
      </c>
      <c r="G150" s="83" t="s">
        <v>645</v>
      </c>
      <c r="H150" s="156" t="s">
        <v>646</v>
      </c>
      <c r="I150" s="156" t="s">
        <v>0</v>
      </c>
      <c r="J150" s="202" t="s">
        <v>782</v>
      </c>
      <c r="K150" s="195" t="s">
        <v>614</v>
      </c>
      <c r="L150" s="146" t="s">
        <v>643</v>
      </c>
      <c r="M150" s="146"/>
      <c r="N150" s="146"/>
    </row>
    <row r="151" spans="3:14" x14ac:dyDescent="0.25">
      <c r="C151" s="1">
        <v>2220</v>
      </c>
      <c r="D151" s="1">
        <v>2</v>
      </c>
      <c r="E151" s="2">
        <v>31.5</v>
      </c>
      <c r="F151" s="1" t="str">
        <f t="shared" ref="F151:F165" si="21">" " &amp; J151 &amp; " " &amp; K151</f>
        <v xml:space="preserve"> Jun 07</v>
      </c>
      <c r="G151" s="16" t="s">
        <v>645</v>
      </c>
      <c r="H151" s="1" t="s">
        <v>410</v>
      </c>
      <c r="I151" s="1" t="s">
        <v>0</v>
      </c>
      <c r="J151" s="198" t="s">
        <v>788</v>
      </c>
      <c r="K151" s="196" t="s">
        <v>609</v>
      </c>
    </row>
    <row r="152" spans="3:14" x14ac:dyDescent="0.25">
      <c r="C152" s="1">
        <v>2220</v>
      </c>
      <c r="D152" s="1">
        <v>3</v>
      </c>
      <c r="E152" s="2">
        <v>39.200000000000003</v>
      </c>
      <c r="F152" s="1" t="str">
        <f t="shared" si="21"/>
        <v xml:space="preserve"> Sep 17</v>
      </c>
      <c r="G152" s="16" t="s">
        <v>647</v>
      </c>
      <c r="H152" s="1" t="s">
        <v>412</v>
      </c>
      <c r="I152" s="1" t="s">
        <v>0</v>
      </c>
      <c r="J152" s="198" t="s">
        <v>777</v>
      </c>
      <c r="K152" s="196" t="s">
        <v>797</v>
      </c>
    </row>
    <row r="153" spans="3:14" x14ac:dyDescent="0.25">
      <c r="C153" s="1">
        <v>2220</v>
      </c>
      <c r="D153" s="1">
        <v>4</v>
      </c>
      <c r="E153" s="2">
        <v>38.299999999999997</v>
      </c>
      <c r="F153" s="1" t="str">
        <f t="shared" si="21"/>
        <v xml:space="preserve"> Aug 15</v>
      </c>
      <c r="G153" s="16" t="s">
        <v>645</v>
      </c>
      <c r="H153" s="1" t="s">
        <v>648</v>
      </c>
      <c r="I153" s="1" t="s">
        <v>0</v>
      </c>
      <c r="J153" s="198" t="s">
        <v>798</v>
      </c>
      <c r="K153" s="196" t="s">
        <v>615</v>
      </c>
    </row>
    <row r="154" spans="3:14" x14ac:dyDescent="0.25">
      <c r="C154" s="1">
        <v>2220</v>
      </c>
      <c r="D154" s="1">
        <v>5</v>
      </c>
      <c r="E154" s="2">
        <v>33.299999999999997</v>
      </c>
      <c r="F154" s="1" t="str">
        <f t="shared" si="21"/>
        <v xml:space="preserve"> Aug 29</v>
      </c>
      <c r="G154" s="16" t="s">
        <v>650</v>
      </c>
      <c r="H154" s="1" t="s">
        <v>651</v>
      </c>
      <c r="I154" s="1" t="s">
        <v>0</v>
      </c>
      <c r="J154" s="198" t="s">
        <v>798</v>
      </c>
      <c r="K154" s="196" t="s">
        <v>799</v>
      </c>
    </row>
    <row r="155" spans="3:14" x14ac:dyDescent="0.25">
      <c r="C155" s="1">
        <v>2220</v>
      </c>
      <c r="D155" s="1">
        <v>6</v>
      </c>
      <c r="E155" s="2">
        <v>43.9</v>
      </c>
      <c r="F155" s="1" t="str">
        <f t="shared" si="21"/>
        <v xml:space="preserve"> Oct 02</v>
      </c>
      <c r="G155" s="16" t="s">
        <v>652</v>
      </c>
      <c r="H155" s="1" t="s">
        <v>653</v>
      </c>
      <c r="I155" s="1" t="s">
        <v>0</v>
      </c>
      <c r="J155" s="198" t="s">
        <v>782</v>
      </c>
      <c r="K155" s="196" t="s">
        <v>604</v>
      </c>
    </row>
    <row r="156" spans="3:14" x14ac:dyDescent="0.25">
      <c r="C156" s="1">
        <v>2220</v>
      </c>
      <c r="D156" s="1">
        <v>7</v>
      </c>
      <c r="E156" s="2">
        <v>47.2</v>
      </c>
      <c r="F156" s="1" t="str">
        <f t="shared" si="21"/>
        <v xml:space="preserve"> Oct 26</v>
      </c>
      <c r="G156" s="16" t="s">
        <v>652</v>
      </c>
      <c r="H156" s="1" t="s">
        <v>654</v>
      </c>
      <c r="I156" s="1" t="s">
        <v>0</v>
      </c>
      <c r="J156" s="198" t="s">
        <v>782</v>
      </c>
      <c r="K156" s="196" t="s">
        <v>785</v>
      </c>
    </row>
    <row r="157" spans="3:14" x14ac:dyDescent="0.25">
      <c r="C157" s="1">
        <v>2220</v>
      </c>
      <c r="D157" s="1">
        <v>8</v>
      </c>
      <c r="E157" s="2">
        <v>42.8</v>
      </c>
      <c r="F157" s="1" t="str">
        <f t="shared" si="21"/>
        <v xml:space="preserve"> Aug 07</v>
      </c>
      <c r="G157" s="16" t="s">
        <v>650</v>
      </c>
      <c r="H157" s="1" t="s">
        <v>653</v>
      </c>
      <c r="I157" s="1" t="s">
        <v>0</v>
      </c>
      <c r="J157" s="198" t="s">
        <v>798</v>
      </c>
      <c r="K157" s="196" t="s">
        <v>609</v>
      </c>
    </row>
    <row r="158" spans="3:14" x14ac:dyDescent="0.25">
      <c r="C158" s="1">
        <v>2220</v>
      </c>
      <c r="D158" s="1">
        <v>9</v>
      </c>
      <c r="E158" s="2">
        <v>41.3</v>
      </c>
      <c r="F158" s="1" t="str">
        <f t="shared" si="21"/>
        <v xml:space="preserve"> Aug 14</v>
      </c>
      <c r="G158" s="16" t="s">
        <v>650</v>
      </c>
      <c r="H158" s="1" t="s">
        <v>653</v>
      </c>
      <c r="I158" s="1" t="s">
        <v>0</v>
      </c>
      <c r="J158" s="198" t="s">
        <v>798</v>
      </c>
      <c r="K158" s="196" t="s">
        <v>614</v>
      </c>
    </row>
    <row r="159" spans="3:14" x14ac:dyDescent="0.25">
      <c r="C159" s="1">
        <v>2220</v>
      </c>
      <c r="D159" s="1">
        <v>10</v>
      </c>
      <c r="E159" s="2">
        <v>38.9</v>
      </c>
      <c r="F159" s="1" t="str">
        <f t="shared" si="21"/>
        <v xml:space="preserve"> Jul 02</v>
      </c>
      <c r="G159" s="16" t="s">
        <v>650</v>
      </c>
      <c r="H159" s="1" t="s">
        <v>656</v>
      </c>
      <c r="I159" s="1" t="s">
        <v>0</v>
      </c>
      <c r="J159" s="198" t="s">
        <v>794</v>
      </c>
      <c r="K159" s="196" t="s">
        <v>604</v>
      </c>
    </row>
    <row r="160" spans="3:14" x14ac:dyDescent="0.25">
      <c r="C160" s="1">
        <v>2220</v>
      </c>
      <c r="D160" s="1">
        <v>11</v>
      </c>
      <c r="E160" s="2">
        <v>33.299999999999997</v>
      </c>
      <c r="F160" s="1" t="str">
        <f t="shared" si="21"/>
        <v xml:space="preserve"> Jul 04</v>
      </c>
      <c r="G160" s="16" t="s">
        <v>658</v>
      </c>
      <c r="H160" s="1" t="s">
        <v>659</v>
      </c>
      <c r="I160" s="1" t="s">
        <v>0</v>
      </c>
      <c r="J160" s="198" t="s">
        <v>794</v>
      </c>
      <c r="K160" s="196" t="s">
        <v>606</v>
      </c>
    </row>
    <row r="161" spans="3:12" x14ac:dyDescent="0.25">
      <c r="C161" s="1">
        <v>2220</v>
      </c>
      <c r="D161" s="1">
        <v>12</v>
      </c>
      <c r="E161" s="2">
        <v>34</v>
      </c>
      <c r="F161" s="1" t="str">
        <f t="shared" si="21"/>
        <v xml:space="preserve"> Jul 02</v>
      </c>
      <c r="G161" s="16" t="s">
        <v>662</v>
      </c>
      <c r="H161" s="1" t="s">
        <v>659</v>
      </c>
      <c r="I161" s="1" t="s">
        <v>0</v>
      </c>
      <c r="J161" s="198" t="s">
        <v>794</v>
      </c>
      <c r="K161" s="196" t="s">
        <v>604</v>
      </c>
    </row>
    <row r="162" spans="3:12" x14ac:dyDescent="0.25">
      <c r="C162" s="1">
        <v>2220</v>
      </c>
      <c r="D162" s="1">
        <v>13</v>
      </c>
      <c r="E162" s="2">
        <v>34.799999999999997</v>
      </c>
      <c r="F162" s="1" t="str">
        <f t="shared" si="21"/>
        <v xml:space="preserve"> Aug 12</v>
      </c>
      <c r="G162" s="16" t="s">
        <v>395</v>
      </c>
      <c r="H162" s="1" t="s">
        <v>661</v>
      </c>
      <c r="I162" s="1" t="s">
        <v>0</v>
      </c>
      <c r="J162" s="198" t="s">
        <v>798</v>
      </c>
      <c r="K162" s="196" t="s">
        <v>613</v>
      </c>
    </row>
    <row r="163" spans="3:12" x14ac:dyDescent="0.25">
      <c r="C163" s="1">
        <v>2220</v>
      </c>
      <c r="D163" s="1">
        <v>14</v>
      </c>
      <c r="E163" s="2">
        <v>28</v>
      </c>
      <c r="F163" s="1" t="str">
        <f t="shared" si="21"/>
        <v xml:space="preserve"> Aug 14</v>
      </c>
      <c r="G163" s="16" t="s">
        <v>395</v>
      </c>
      <c r="H163" s="1" t="s">
        <v>420</v>
      </c>
      <c r="I163" s="1" t="s">
        <v>0</v>
      </c>
      <c r="J163" s="198" t="s">
        <v>798</v>
      </c>
      <c r="K163" s="196" t="s">
        <v>614</v>
      </c>
    </row>
    <row r="164" spans="3:12" x14ac:dyDescent="0.25">
      <c r="C164" s="1">
        <v>2220</v>
      </c>
      <c r="D164" s="1">
        <v>15</v>
      </c>
      <c r="E164" s="2">
        <v>43.9</v>
      </c>
      <c r="F164" s="1" t="str">
        <f t="shared" si="21"/>
        <v xml:space="preserve"> Jul 08</v>
      </c>
      <c r="G164" s="16" t="s">
        <v>662</v>
      </c>
      <c r="H164" s="1" t="s">
        <v>653</v>
      </c>
      <c r="I164" s="1" t="s">
        <v>0</v>
      </c>
      <c r="J164" s="198" t="s">
        <v>794</v>
      </c>
      <c r="K164" s="196" t="s">
        <v>610</v>
      </c>
    </row>
    <row r="165" spans="3:12" x14ac:dyDescent="0.25">
      <c r="C165" s="1">
        <v>2220</v>
      </c>
      <c r="D165" s="1">
        <v>16</v>
      </c>
      <c r="E165" s="20">
        <v>23.6</v>
      </c>
      <c r="F165" s="1" t="str">
        <f t="shared" si="21"/>
        <v xml:space="preserve"> Jul 03</v>
      </c>
      <c r="G165" s="17" t="s">
        <v>663</v>
      </c>
      <c r="H165" s="1" t="s">
        <v>420</v>
      </c>
      <c r="I165" s="1" t="s">
        <v>0</v>
      </c>
      <c r="J165" s="198" t="s">
        <v>794</v>
      </c>
      <c r="K165" s="196" t="s">
        <v>605</v>
      </c>
    </row>
    <row r="166" spans="3:12" ht="15.75" x14ac:dyDescent="0.25">
      <c r="C166" s="154" t="s">
        <v>353</v>
      </c>
      <c r="D166" s="156">
        <v>1</v>
      </c>
      <c r="E166" s="164">
        <v>33</v>
      </c>
      <c r="F166" s="165" t="s">
        <v>394</v>
      </c>
      <c r="G166" s="166" t="s">
        <v>407</v>
      </c>
      <c r="H166" s="165" t="s">
        <v>408</v>
      </c>
      <c r="I166" s="61" t="s">
        <v>0</v>
      </c>
      <c r="J166" s="24" t="s">
        <v>644</v>
      </c>
      <c r="K166" s="6"/>
      <c r="L166" s="1"/>
    </row>
    <row r="167" spans="3:12" ht="15.75" x14ac:dyDescent="0.25">
      <c r="C167" s="61" t="str">
        <f t="shared" ref="C167:C181" si="22">C166</f>
        <v>*</v>
      </c>
      <c r="D167" s="1">
        <v>2</v>
      </c>
      <c r="E167" s="82">
        <v>29</v>
      </c>
      <c r="F167" s="23" t="s">
        <v>395</v>
      </c>
      <c r="G167" s="84" t="s">
        <v>409</v>
      </c>
      <c r="H167" s="23" t="s">
        <v>410</v>
      </c>
      <c r="I167" s="61" t="s">
        <v>0</v>
      </c>
      <c r="J167" s="24"/>
      <c r="K167" s="6"/>
      <c r="L167" s="1"/>
    </row>
    <row r="168" spans="3:12" ht="15.75" x14ac:dyDescent="0.25">
      <c r="C168" s="61" t="str">
        <f t="shared" si="22"/>
        <v>*</v>
      </c>
      <c r="D168" s="1">
        <v>3</v>
      </c>
      <c r="E168" s="82">
        <v>37</v>
      </c>
      <c r="F168" s="23" t="s">
        <v>396</v>
      </c>
      <c r="G168" s="84" t="s">
        <v>411</v>
      </c>
      <c r="H168" s="23" t="s">
        <v>412</v>
      </c>
      <c r="I168" s="61" t="s">
        <v>0</v>
      </c>
      <c r="J168" s="24"/>
      <c r="K168" s="6"/>
      <c r="L168" s="1"/>
    </row>
    <row r="169" spans="3:12" ht="15.75" x14ac:dyDescent="0.25">
      <c r="C169" s="61" t="str">
        <f t="shared" si="22"/>
        <v>*</v>
      </c>
      <c r="D169" s="1">
        <v>4</v>
      </c>
      <c r="E169" s="82">
        <v>36</v>
      </c>
      <c r="F169" s="23" t="s">
        <v>397</v>
      </c>
      <c r="G169" s="84" t="s">
        <v>401</v>
      </c>
      <c r="H169" s="23" t="s">
        <v>413</v>
      </c>
      <c r="I169" s="61" t="s">
        <v>0</v>
      </c>
      <c r="J169" s="24"/>
      <c r="K169" s="6"/>
      <c r="L169" s="1"/>
    </row>
    <row r="170" spans="3:12" ht="15.75" x14ac:dyDescent="0.25">
      <c r="C170" s="61" t="str">
        <f t="shared" si="22"/>
        <v>*</v>
      </c>
      <c r="D170" s="1">
        <v>5</v>
      </c>
      <c r="E170" s="82">
        <v>33</v>
      </c>
      <c r="F170" s="23" t="s">
        <v>398</v>
      </c>
      <c r="G170" s="84" t="s">
        <v>414</v>
      </c>
      <c r="H170" s="23" t="s">
        <v>415</v>
      </c>
      <c r="I170" s="61" t="s">
        <v>0</v>
      </c>
      <c r="J170" s="24"/>
      <c r="K170" s="6"/>
      <c r="L170" s="1"/>
    </row>
    <row r="171" spans="3:12" ht="15.75" x14ac:dyDescent="0.25">
      <c r="C171" s="61" t="str">
        <f t="shared" si="22"/>
        <v>*</v>
      </c>
      <c r="D171" s="1">
        <v>6</v>
      </c>
      <c r="E171" s="82">
        <v>39</v>
      </c>
      <c r="F171" s="23" t="s">
        <v>399</v>
      </c>
      <c r="G171" s="84" t="s">
        <v>416</v>
      </c>
      <c r="H171" s="23" t="s">
        <v>417</v>
      </c>
      <c r="I171" s="61" t="s">
        <v>0</v>
      </c>
      <c r="J171" s="24"/>
      <c r="K171" s="6"/>
      <c r="L171" s="1"/>
    </row>
    <row r="172" spans="3:12" ht="15.75" x14ac:dyDescent="0.25">
      <c r="C172" s="61" t="str">
        <f t="shared" si="22"/>
        <v>*</v>
      </c>
      <c r="D172" s="1">
        <v>7</v>
      </c>
      <c r="E172" s="82">
        <v>44</v>
      </c>
      <c r="F172" s="23" t="s">
        <v>400</v>
      </c>
      <c r="G172" s="84" t="s">
        <v>416</v>
      </c>
      <c r="H172" s="23" t="s">
        <v>417</v>
      </c>
      <c r="I172" s="61" t="s">
        <v>0</v>
      </c>
      <c r="J172" s="24"/>
      <c r="K172" s="6"/>
      <c r="L172" s="1"/>
    </row>
    <row r="173" spans="3:12" ht="15.75" x14ac:dyDescent="0.25">
      <c r="C173" s="61" t="str">
        <f t="shared" si="22"/>
        <v>*</v>
      </c>
      <c r="D173" s="1">
        <v>8</v>
      </c>
      <c r="E173" s="82">
        <v>37</v>
      </c>
      <c r="F173" s="23" t="s">
        <v>401</v>
      </c>
      <c r="G173" s="84" t="s">
        <v>416</v>
      </c>
      <c r="H173" s="23" t="s">
        <v>418</v>
      </c>
      <c r="I173" s="61" t="s">
        <v>0</v>
      </c>
      <c r="J173" s="24"/>
      <c r="K173" s="6"/>
      <c r="L173" s="1"/>
    </row>
    <row r="174" spans="3:12" ht="15.75" x14ac:dyDescent="0.25">
      <c r="C174" s="61" t="str">
        <f t="shared" si="22"/>
        <v>*</v>
      </c>
      <c r="D174" s="1">
        <v>9</v>
      </c>
      <c r="E174" s="82">
        <v>36</v>
      </c>
      <c r="F174" s="23" t="s">
        <v>402</v>
      </c>
      <c r="G174" s="84" t="s">
        <v>416</v>
      </c>
      <c r="H174" s="23" t="s">
        <v>418</v>
      </c>
      <c r="I174" s="61" t="s">
        <v>0</v>
      </c>
      <c r="K174" s="1"/>
      <c r="L174" s="1"/>
    </row>
    <row r="175" spans="3:12" ht="15.75" x14ac:dyDescent="0.25">
      <c r="C175" s="61" t="str">
        <f t="shared" si="22"/>
        <v>*</v>
      </c>
      <c r="D175" s="1">
        <v>10</v>
      </c>
      <c r="E175" s="82">
        <v>35</v>
      </c>
      <c r="F175" s="23" t="s">
        <v>403</v>
      </c>
      <c r="G175" s="84" t="s">
        <v>416</v>
      </c>
      <c r="H175" s="23" t="s">
        <v>417</v>
      </c>
      <c r="I175" s="61" t="s">
        <v>0</v>
      </c>
      <c r="K175" s="1"/>
      <c r="L175" s="1"/>
    </row>
    <row r="176" spans="3:12" ht="15.75" x14ac:dyDescent="0.25">
      <c r="C176" s="61" t="str">
        <f t="shared" si="22"/>
        <v>*</v>
      </c>
      <c r="D176" s="1">
        <v>11</v>
      </c>
      <c r="E176" s="82">
        <v>21</v>
      </c>
      <c r="F176" s="23" t="s">
        <v>52</v>
      </c>
      <c r="G176" s="84" t="s">
        <v>419</v>
      </c>
      <c r="H176" s="23" t="s">
        <v>420</v>
      </c>
      <c r="I176" s="61" t="s">
        <v>0</v>
      </c>
      <c r="K176" s="1"/>
      <c r="L176" s="1"/>
    </row>
    <row r="177" spans="2:12" ht="15.75" x14ac:dyDescent="0.25">
      <c r="C177" s="61" t="str">
        <f t="shared" si="22"/>
        <v>*</v>
      </c>
      <c r="D177" s="1">
        <v>12</v>
      </c>
      <c r="E177" s="82">
        <v>37</v>
      </c>
      <c r="F177" s="23" t="s">
        <v>395</v>
      </c>
      <c r="G177" s="84" t="s">
        <v>419</v>
      </c>
      <c r="H177" s="23" t="s">
        <v>415</v>
      </c>
      <c r="I177" s="61" t="s">
        <v>0</v>
      </c>
      <c r="K177" s="1"/>
      <c r="L177" s="1"/>
    </row>
    <row r="178" spans="2:12" ht="15.75" x14ac:dyDescent="0.25">
      <c r="C178" s="61" t="str">
        <f t="shared" si="22"/>
        <v>*</v>
      </c>
      <c r="D178" s="1">
        <v>13</v>
      </c>
      <c r="E178" s="82">
        <v>30</v>
      </c>
      <c r="F178" s="23" t="s">
        <v>399</v>
      </c>
      <c r="G178" s="84" t="s">
        <v>419</v>
      </c>
      <c r="H178" s="23" t="s">
        <v>410</v>
      </c>
      <c r="I178" s="61" t="s">
        <v>0</v>
      </c>
      <c r="K178" s="1"/>
      <c r="L178" s="1"/>
    </row>
    <row r="179" spans="2:12" ht="15.75" x14ac:dyDescent="0.25">
      <c r="C179" s="61" t="str">
        <f t="shared" si="22"/>
        <v>*</v>
      </c>
      <c r="D179" s="1">
        <v>14</v>
      </c>
      <c r="E179" s="82">
        <v>24</v>
      </c>
      <c r="F179" s="23" t="s">
        <v>404</v>
      </c>
      <c r="G179" s="84" t="s">
        <v>411</v>
      </c>
      <c r="H179" s="23" t="s">
        <v>418</v>
      </c>
      <c r="I179" s="61" t="s">
        <v>0</v>
      </c>
      <c r="K179" s="1"/>
      <c r="L179" s="1"/>
    </row>
    <row r="180" spans="2:12" ht="15.75" x14ac:dyDescent="0.25">
      <c r="C180" s="61" t="str">
        <f t="shared" si="22"/>
        <v>*</v>
      </c>
      <c r="D180" s="1">
        <v>15</v>
      </c>
      <c r="E180" s="82">
        <v>34</v>
      </c>
      <c r="F180" s="23" t="s">
        <v>405</v>
      </c>
      <c r="G180" s="84" t="s">
        <v>421</v>
      </c>
      <c r="H180" s="23" t="s">
        <v>417</v>
      </c>
      <c r="I180" s="61" t="s">
        <v>0</v>
      </c>
      <c r="K180" s="1"/>
      <c r="L180" s="1"/>
    </row>
    <row r="181" spans="2:12" ht="15.75" x14ac:dyDescent="0.25">
      <c r="C181" s="61" t="str">
        <f t="shared" si="22"/>
        <v>*</v>
      </c>
      <c r="D181" s="1">
        <v>16</v>
      </c>
      <c r="E181" s="82">
        <v>24</v>
      </c>
      <c r="F181" s="23" t="s">
        <v>406</v>
      </c>
      <c r="G181" s="84" t="s">
        <v>419</v>
      </c>
      <c r="H181" s="23" t="s">
        <v>420</v>
      </c>
      <c r="I181" s="61" t="s">
        <v>0</v>
      </c>
      <c r="J181" s="24"/>
      <c r="K181" s="6"/>
      <c r="L181" s="1"/>
    </row>
    <row r="182" spans="2:12" x14ac:dyDescent="0.25">
      <c r="B182" t="s">
        <v>50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8"/>
  <sheetViews>
    <sheetView zoomScale="110" zoomScaleNormal="110" workbookViewId="0">
      <selection activeCell="B41" sqref="B41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10.7109375" customWidth="1"/>
    <col min="5" max="5" width="11.140625" customWidth="1"/>
    <col min="8" max="8" width="8.140625" customWidth="1"/>
    <col min="17" max="17" width="11.28515625" customWidth="1"/>
    <col min="18" max="18" width="29.140625" customWidth="1"/>
    <col min="19" max="19" width="28" bestFit="1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0</v>
      </c>
      <c r="B2" t="s">
        <v>51</v>
      </c>
    </row>
    <row r="3" spans="1:4" x14ac:dyDescent="0.25">
      <c r="A3" t="s">
        <v>0</v>
      </c>
      <c r="B3" t="s">
        <v>3</v>
      </c>
      <c r="D3" t="s">
        <v>425</v>
      </c>
    </row>
    <row r="4" spans="1:4" x14ac:dyDescent="0.25">
      <c r="A4" t="s">
        <v>0</v>
      </c>
    </row>
    <row r="5" spans="1:4" x14ac:dyDescent="0.25">
      <c r="A5" t="s">
        <v>0</v>
      </c>
      <c r="B5" t="s">
        <v>24</v>
      </c>
      <c r="D5" t="s">
        <v>53</v>
      </c>
    </row>
    <row r="6" spans="1:4" x14ac:dyDescent="0.25">
      <c r="A6" t="s">
        <v>0</v>
      </c>
    </row>
    <row r="7" spans="1:4" x14ac:dyDescent="0.25">
      <c r="A7" t="s">
        <v>0</v>
      </c>
      <c r="B7" t="s">
        <v>4</v>
      </c>
      <c r="D7" t="s">
        <v>31</v>
      </c>
    </row>
    <row r="8" spans="1:4" x14ac:dyDescent="0.25">
      <c r="A8" t="s">
        <v>0</v>
      </c>
      <c r="D8" t="s">
        <v>54</v>
      </c>
    </row>
    <row r="9" spans="1:4" x14ac:dyDescent="0.25">
      <c r="A9" t="s">
        <v>0</v>
      </c>
      <c r="D9" t="s">
        <v>259</v>
      </c>
    </row>
    <row r="10" spans="1:4" x14ac:dyDescent="0.25">
      <c r="A10" t="s">
        <v>0</v>
      </c>
      <c r="D10" t="s">
        <v>374</v>
      </c>
    </row>
    <row r="11" spans="1:4" x14ac:dyDescent="0.25">
      <c r="A11" t="s">
        <v>0</v>
      </c>
      <c r="D11" t="s">
        <v>387</v>
      </c>
    </row>
    <row r="12" spans="1:4" x14ac:dyDescent="0.25">
      <c r="A12" t="s">
        <v>0</v>
      </c>
      <c r="D12" t="s">
        <v>431</v>
      </c>
    </row>
    <row r="13" spans="1:4" x14ac:dyDescent="0.25">
      <c r="A13" t="s">
        <v>0</v>
      </c>
    </row>
    <row r="14" spans="1:4" x14ac:dyDescent="0.25">
      <c r="A14" t="s">
        <v>0</v>
      </c>
      <c r="B14" t="s">
        <v>6</v>
      </c>
    </row>
    <row r="15" spans="1:4" x14ac:dyDescent="0.25">
      <c r="A15" t="s">
        <v>0</v>
      </c>
      <c r="C15" s="1">
        <v>1</v>
      </c>
      <c r="D15" t="s">
        <v>32</v>
      </c>
    </row>
    <row r="16" spans="1:4" x14ac:dyDescent="0.25">
      <c r="A16" t="s">
        <v>0</v>
      </c>
      <c r="C16" s="1"/>
    </row>
    <row r="17" spans="1:12" x14ac:dyDescent="0.25">
      <c r="A17" t="s">
        <v>0</v>
      </c>
      <c r="B17" t="s">
        <v>7</v>
      </c>
      <c r="C17" s="1"/>
    </row>
    <row r="18" spans="1:12" x14ac:dyDescent="0.25">
      <c r="A18" t="s">
        <v>0</v>
      </c>
      <c r="C18" s="1">
        <v>1</v>
      </c>
      <c r="D18" t="s">
        <v>200</v>
      </c>
      <c r="J18" t="s">
        <v>35</v>
      </c>
    </row>
    <row r="19" spans="1:12" x14ac:dyDescent="0.25">
      <c r="A19" t="s">
        <v>0</v>
      </c>
      <c r="C19" s="1">
        <v>2</v>
      </c>
      <c r="D19" t="s">
        <v>201</v>
      </c>
      <c r="J19" t="s">
        <v>35</v>
      </c>
    </row>
    <row r="20" spans="1:12" x14ac:dyDescent="0.25">
      <c r="A20" t="s">
        <v>0</v>
      </c>
      <c r="C20" s="1">
        <v>3</v>
      </c>
      <c r="D20" t="s">
        <v>202</v>
      </c>
      <c r="J20" t="s">
        <v>34</v>
      </c>
    </row>
    <row r="21" spans="1:12" x14ac:dyDescent="0.25">
      <c r="A21" t="s">
        <v>0</v>
      </c>
      <c r="C21" s="1">
        <v>4</v>
      </c>
      <c r="D21" t="s">
        <v>203</v>
      </c>
      <c r="J21" t="s">
        <v>34</v>
      </c>
    </row>
    <row r="22" spans="1:12" x14ac:dyDescent="0.25">
      <c r="A22" t="s">
        <v>0</v>
      </c>
      <c r="C22" s="1">
        <v>5</v>
      </c>
      <c r="D22" t="s">
        <v>204</v>
      </c>
      <c r="J22" t="s">
        <v>199</v>
      </c>
    </row>
    <row r="23" spans="1:12" x14ac:dyDescent="0.25">
      <c r="A23" t="s">
        <v>0</v>
      </c>
      <c r="C23" s="1">
        <v>6</v>
      </c>
      <c r="D23" t="s">
        <v>210</v>
      </c>
      <c r="J23" t="s">
        <v>206</v>
      </c>
      <c r="L23" t="s">
        <v>219</v>
      </c>
    </row>
    <row r="24" spans="1:12" x14ac:dyDescent="0.25">
      <c r="A24" t="s">
        <v>0</v>
      </c>
      <c r="C24" s="1"/>
      <c r="E24" t="s">
        <v>208</v>
      </c>
    </row>
    <row r="25" spans="1:12" x14ac:dyDescent="0.25">
      <c r="A25" t="s">
        <v>0</v>
      </c>
      <c r="C25" s="1">
        <v>7</v>
      </c>
      <c r="D25" t="s">
        <v>207</v>
      </c>
      <c r="J25" t="s">
        <v>206</v>
      </c>
    </row>
    <row r="26" spans="1:12" x14ac:dyDescent="0.25">
      <c r="A26" t="s">
        <v>0</v>
      </c>
      <c r="C26" s="1">
        <v>8</v>
      </c>
      <c r="D26" t="s">
        <v>255</v>
      </c>
      <c r="J26" t="s">
        <v>199</v>
      </c>
    </row>
    <row r="27" spans="1:12" x14ac:dyDescent="0.25">
      <c r="A27" t="s">
        <v>0</v>
      </c>
      <c r="C27" s="1">
        <v>9</v>
      </c>
      <c r="D27" t="s">
        <v>256</v>
      </c>
      <c r="J27" t="s">
        <v>199</v>
      </c>
    </row>
    <row r="28" spans="1:12" x14ac:dyDescent="0.25">
      <c r="A28" t="s">
        <v>0</v>
      </c>
      <c r="C28" s="1">
        <v>10</v>
      </c>
      <c r="D28" t="s">
        <v>375</v>
      </c>
      <c r="J28" t="s">
        <v>199</v>
      </c>
    </row>
    <row r="29" spans="1:12" x14ac:dyDescent="0.25">
      <c r="A29" t="s">
        <v>0</v>
      </c>
      <c r="C29" s="1">
        <v>11</v>
      </c>
      <c r="D29" t="s">
        <v>376</v>
      </c>
      <c r="J29" t="s">
        <v>199</v>
      </c>
    </row>
    <row r="30" spans="1:12" x14ac:dyDescent="0.25">
      <c r="A30" t="s">
        <v>0</v>
      </c>
      <c r="C30" s="1">
        <v>12</v>
      </c>
      <c r="D30" t="s">
        <v>388</v>
      </c>
      <c r="J30" t="s">
        <v>199</v>
      </c>
    </row>
    <row r="31" spans="1:12" x14ac:dyDescent="0.25">
      <c r="A31" t="s">
        <v>0</v>
      </c>
      <c r="C31" s="1">
        <v>13</v>
      </c>
      <c r="D31" t="s">
        <v>389</v>
      </c>
      <c r="J31" t="s">
        <v>199</v>
      </c>
    </row>
    <row r="32" spans="1:12" x14ac:dyDescent="0.25">
      <c r="A32" t="s">
        <v>0</v>
      </c>
      <c r="C32" s="1">
        <v>14</v>
      </c>
      <c r="D32" t="s">
        <v>390</v>
      </c>
      <c r="J32" t="s">
        <v>199</v>
      </c>
    </row>
    <row r="33" spans="1:19" x14ac:dyDescent="0.25">
      <c r="A33" t="s">
        <v>0</v>
      </c>
      <c r="C33" s="1">
        <v>15</v>
      </c>
      <c r="D33" t="s">
        <v>430</v>
      </c>
      <c r="J33" t="s">
        <v>199</v>
      </c>
    </row>
    <row r="34" spans="1:19" x14ac:dyDescent="0.25">
      <c r="A34" t="s">
        <v>0</v>
      </c>
      <c r="C34" s="1">
        <v>16</v>
      </c>
      <c r="D34" t="s">
        <v>429</v>
      </c>
      <c r="J34" t="s">
        <v>199</v>
      </c>
    </row>
    <row r="35" spans="1:19" x14ac:dyDescent="0.25">
      <c r="A35" t="s">
        <v>0</v>
      </c>
      <c r="C35" s="1"/>
    </row>
    <row r="36" spans="1:19" x14ac:dyDescent="0.25">
      <c r="A36" t="s">
        <v>0</v>
      </c>
      <c r="D36" t="s">
        <v>46</v>
      </c>
      <c r="E36" s="1"/>
      <c r="F36" s="15" t="s">
        <v>45</v>
      </c>
      <c r="H36" s="15"/>
      <c r="I36" s="15" t="s">
        <v>211</v>
      </c>
      <c r="J36" s="18"/>
    </row>
    <row r="37" spans="1:19" x14ac:dyDescent="0.25">
      <c r="A37" t="s">
        <v>0</v>
      </c>
      <c r="B37" s="1"/>
      <c r="D37" s="2" t="s">
        <v>36</v>
      </c>
      <c r="E37" s="16" t="s">
        <v>38</v>
      </c>
      <c r="F37" s="2" t="s">
        <v>41</v>
      </c>
      <c r="G37" s="16" t="s">
        <v>43</v>
      </c>
      <c r="H37" s="15"/>
      <c r="I37" s="2" t="s">
        <v>212</v>
      </c>
      <c r="J37" s="86" t="s">
        <v>215</v>
      </c>
    </row>
    <row r="38" spans="1:19" x14ac:dyDescent="0.25">
      <c r="A38" t="s">
        <v>0</v>
      </c>
      <c r="B38" s="1"/>
      <c r="D38" s="2" t="s">
        <v>37</v>
      </c>
      <c r="E38" s="16" t="s">
        <v>39</v>
      </c>
      <c r="F38" s="2" t="s">
        <v>42</v>
      </c>
      <c r="G38" s="16" t="s">
        <v>44</v>
      </c>
      <c r="H38" s="15"/>
      <c r="I38" s="2" t="s">
        <v>213</v>
      </c>
      <c r="J38" s="86" t="s">
        <v>216</v>
      </c>
    </row>
    <row r="39" spans="1:19" x14ac:dyDescent="0.25">
      <c r="A39" t="s">
        <v>0</v>
      </c>
      <c r="B39" s="1"/>
      <c r="C39" s="18"/>
      <c r="D39" s="3" t="s">
        <v>33</v>
      </c>
      <c r="E39" s="17" t="s">
        <v>47</v>
      </c>
      <c r="F39" s="3" t="s">
        <v>47</v>
      </c>
      <c r="G39" s="17" t="s">
        <v>40</v>
      </c>
      <c r="H39" s="76"/>
      <c r="I39" s="85" t="s">
        <v>214</v>
      </c>
      <c r="J39" s="87" t="s">
        <v>217</v>
      </c>
    </row>
    <row r="40" spans="1:19" x14ac:dyDescent="0.25">
      <c r="B40" t="s">
        <v>541</v>
      </c>
      <c r="D40" s="2"/>
      <c r="E40" s="16"/>
      <c r="F40" s="83"/>
      <c r="G40" s="16"/>
      <c r="H40" s="77"/>
      <c r="I40" s="88"/>
      <c r="J40" s="89"/>
    </row>
    <row r="41" spans="1:19" x14ac:dyDescent="0.25">
      <c r="C41" s="19" t="s">
        <v>48</v>
      </c>
      <c r="D41" s="20" t="s">
        <v>49</v>
      </c>
      <c r="E41" s="21" t="s">
        <v>39</v>
      </c>
      <c r="F41" s="21" t="s">
        <v>42</v>
      </c>
      <c r="G41" s="21" t="s">
        <v>44</v>
      </c>
      <c r="H41" s="78" t="s">
        <v>205</v>
      </c>
      <c r="I41" s="78" t="s">
        <v>209</v>
      </c>
      <c r="J41" s="90" t="s">
        <v>218</v>
      </c>
      <c r="K41" s="78" t="s">
        <v>257</v>
      </c>
      <c r="L41" s="90" t="s">
        <v>258</v>
      </c>
      <c r="M41" s="90" t="s">
        <v>377</v>
      </c>
      <c r="N41" s="90" t="s">
        <v>378</v>
      </c>
      <c r="O41" s="22" t="s">
        <v>391</v>
      </c>
      <c r="P41" s="22" t="s">
        <v>392</v>
      </c>
      <c r="Q41" s="22" t="s">
        <v>393</v>
      </c>
      <c r="R41" s="22" t="s">
        <v>422</v>
      </c>
      <c r="S41" s="22" t="s">
        <v>426</v>
      </c>
    </row>
    <row r="42" spans="1:19" ht="15.75" x14ac:dyDescent="0.25">
      <c r="C42" s="1">
        <v>1</v>
      </c>
      <c r="D42" s="81">
        <v>33</v>
      </c>
      <c r="E42" s="23" t="s">
        <v>394</v>
      </c>
      <c r="F42" s="84" t="s">
        <v>407</v>
      </c>
      <c r="G42" s="23" t="s">
        <v>408</v>
      </c>
      <c r="H42" s="79">
        <v>0</v>
      </c>
      <c r="I42" s="92">
        <v>0</v>
      </c>
      <c r="J42" s="93">
        <v>0</v>
      </c>
      <c r="K42" s="1">
        <v>0.4</v>
      </c>
      <c r="L42" s="1">
        <v>0.35</v>
      </c>
      <c r="M42" s="1">
        <v>0.55000000000000004</v>
      </c>
      <c r="N42" s="91">
        <v>0.3</v>
      </c>
      <c r="O42" s="1">
        <v>38</v>
      </c>
      <c r="P42" s="1">
        <v>19</v>
      </c>
      <c r="Q42" s="1">
        <v>8</v>
      </c>
      <c r="R42" t="s">
        <v>423</v>
      </c>
      <c r="S42" t="s">
        <v>427</v>
      </c>
    </row>
    <row r="43" spans="1:19" ht="15.75" x14ac:dyDescent="0.25">
      <c r="C43" s="1">
        <v>2</v>
      </c>
      <c r="D43" s="82">
        <v>29</v>
      </c>
      <c r="E43" s="23" t="s">
        <v>395</v>
      </c>
      <c r="F43" s="84" t="s">
        <v>409</v>
      </c>
      <c r="G43" s="23" t="s">
        <v>410</v>
      </c>
      <c r="H43" s="80">
        <v>0</v>
      </c>
      <c r="I43" s="92">
        <v>0</v>
      </c>
      <c r="J43" s="93">
        <v>0</v>
      </c>
      <c r="K43" s="1">
        <v>0.4</v>
      </c>
      <c r="L43" s="1">
        <v>0.35</v>
      </c>
      <c r="M43" s="1">
        <v>0.55000000000000004</v>
      </c>
      <c r="N43" s="91">
        <v>0.3</v>
      </c>
      <c r="O43" s="1">
        <v>30</v>
      </c>
      <c r="P43" s="1">
        <v>19</v>
      </c>
      <c r="Q43" s="1">
        <v>8</v>
      </c>
      <c r="R43" s="24" t="str">
        <f>R42</f>
        <v>T24-2013 ExtWall 6in Conc R13</v>
      </c>
      <c r="S43" s="24" t="str">
        <f>S42</f>
        <v>T24-2013 UndWall 6in Conc R13</v>
      </c>
    </row>
    <row r="44" spans="1:19" ht="15.75" x14ac:dyDescent="0.25">
      <c r="C44" s="1">
        <v>3</v>
      </c>
      <c r="D44" s="82">
        <v>37</v>
      </c>
      <c r="E44" s="23" t="s">
        <v>396</v>
      </c>
      <c r="F44" s="84" t="s">
        <v>411</v>
      </c>
      <c r="G44" s="23" t="s">
        <v>412</v>
      </c>
      <c r="H44" s="80">
        <v>0</v>
      </c>
      <c r="I44" s="92">
        <v>0</v>
      </c>
      <c r="J44" s="93">
        <v>0</v>
      </c>
      <c r="K44" s="1">
        <v>0.4</v>
      </c>
      <c r="L44" s="1">
        <v>0.35</v>
      </c>
      <c r="M44" s="1">
        <v>0.55000000000000004</v>
      </c>
      <c r="N44" s="91">
        <v>0.3</v>
      </c>
      <c r="O44" s="1">
        <v>30</v>
      </c>
      <c r="P44" s="1">
        <v>19</v>
      </c>
      <c r="Q44" s="1">
        <v>0</v>
      </c>
      <c r="R44" s="24" t="str">
        <f t="shared" ref="R44:S56" si="0">R43</f>
        <v>T24-2013 ExtWall 6in Conc R13</v>
      </c>
      <c r="S44" s="24" t="str">
        <f t="shared" si="0"/>
        <v>T24-2013 UndWall 6in Conc R13</v>
      </c>
    </row>
    <row r="45" spans="1:19" ht="15.75" x14ac:dyDescent="0.25">
      <c r="C45" s="1">
        <v>4</v>
      </c>
      <c r="D45" s="82">
        <v>36</v>
      </c>
      <c r="E45" s="23" t="s">
        <v>397</v>
      </c>
      <c r="F45" s="84" t="s">
        <v>401</v>
      </c>
      <c r="G45" s="23" t="s">
        <v>413</v>
      </c>
      <c r="H45" s="80">
        <v>0</v>
      </c>
      <c r="I45" s="92">
        <v>0</v>
      </c>
      <c r="J45" s="93">
        <v>0</v>
      </c>
      <c r="K45" s="1">
        <v>0.4</v>
      </c>
      <c r="L45" s="1">
        <v>0.35</v>
      </c>
      <c r="M45" s="1">
        <v>0.55000000000000004</v>
      </c>
      <c r="N45" s="91">
        <v>0.3</v>
      </c>
      <c r="O45" s="1">
        <v>30</v>
      </c>
      <c r="P45" s="1">
        <v>19</v>
      </c>
      <c r="Q45" s="1">
        <v>0</v>
      </c>
      <c r="R45" s="24" t="str">
        <f t="shared" si="0"/>
        <v>T24-2013 ExtWall 6in Conc R13</v>
      </c>
      <c r="S45" s="24" t="str">
        <f t="shared" si="0"/>
        <v>T24-2013 UndWall 6in Conc R13</v>
      </c>
    </row>
    <row r="46" spans="1:19" ht="15.75" x14ac:dyDescent="0.25">
      <c r="C46" s="1">
        <v>5</v>
      </c>
      <c r="D46" s="82">
        <v>33</v>
      </c>
      <c r="E46" s="23" t="s">
        <v>398</v>
      </c>
      <c r="F46" s="84" t="s">
        <v>414</v>
      </c>
      <c r="G46" s="23" t="s">
        <v>415</v>
      </c>
      <c r="H46" s="80">
        <v>0</v>
      </c>
      <c r="I46" s="92">
        <v>0</v>
      </c>
      <c r="J46" s="93">
        <v>0</v>
      </c>
      <c r="K46" s="1">
        <v>0.4</v>
      </c>
      <c r="L46" s="1">
        <v>0.35</v>
      </c>
      <c r="M46" s="1">
        <v>0.55000000000000004</v>
      </c>
      <c r="N46" s="91">
        <v>0.3</v>
      </c>
      <c r="O46" s="1">
        <v>30</v>
      </c>
      <c r="P46" s="1">
        <v>19</v>
      </c>
      <c r="Q46" s="1">
        <v>0</v>
      </c>
      <c r="R46" s="24" t="str">
        <f t="shared" si="0"/>
        <v>T24-2013 ExtWall 6in Conc R13</v>
      </c>
      <c r="S46" s="24" t="str">
        <f t="shared" si="0"/>
        <v>T24-2013 UndWall 6in Conc R13</v>
      </c>
    </row>
    <row r="47" spans="1:19" ht="15.75" x14ac:dyDescent="0.25">
      <c r="C47" s="1">
        <v>6</v>
      </c>
      <c r="D47" s="82">
        <v>39</v>
      </c>
      <c r="E47" s="23" t="s">
        <v>399</v>
      </c>
      <c r="F47" s="84" t="s">
        <v>416</v>
      </c>
      <c r="G47" s="23" t="s">
        <v>417</v>
      </c>
      <c r="H47" s="80">
        <v>0</v>
      </c>
      <c r="I47" s="92">
        <v>0</v>
      </c>
      <c r="J47" s="93">
        <v>0</v>
      </c>
      <c r="K47" s="1">
        <v>0.4</v>
      </c>
      <c r="L47" s="1">
        <v>0.35</v>
      </c>
      <c r="M47" s="1">
        <v>0.55000000000000004</v>
      </c>
      <c r="N47" s="91">
        <v>0.3</v>
      </c>
      <c r="O47" s="1">
        <v>30</v>
      </c>
      <c r="P47" s="1">
        <v>19</v>
      </c>
      <c r="Q47" s="1">
        <v>0</v>
      </c>
      <c r="R47" s="24" t="str">
        <f t="shared" si="0"/>
        <v>T24-2013 ExtWall 6in Conc R13</v>
      </c>
      <c r="S47" s="24" t="str">
        <f t="shared" si="0"/>
        <v>T24-2013 UndWall 6in Conc R13</v>
      </c>
    </row>
    <row r="48" spans="1:19" ht="15.75" x14ac:dyDescent="0.25">
      <c r="C48" s="1">
        <v>7</v>
      </c>
      <c r="D48" s="82">
        <v>44</v>
      </c>
      <c r="E48" s="23" t="s">
        <v>400</v>
      </c>
      <c r="F48" s="84" t="s">
        <v>416</v>
      </c>
      <c r="G48" s="23" t="s">
        <v>417</v>
      </c>
      <c r="H48" s="80">
        <v>0</v>
      </c>
      <c r="I48" s="92">
        <v>0</v>
      </c>
      <c r="J48" s="93">
        <v>0</v>
      </c>
      <c r="K48" s="1">
        <v>0.4</v>
      </c>
      <c r="L48" s="1">
        <v>0.35</v>
      </c>
      <c r="M48" s="1">
        <v>0.55000000000000004</v>
      </c>
      <c r="N48" s="91">
        <v>0.3</v>
      </c>
      <c r="O48" s="1">
        <v>30</v>
      </c>
      <c r="P48" s="1">
        <v>19</v>
      </c>
      <c r="Q48" s="1">
        <v>0</v>
      </c>
      <c r="R48" s="24" t="str">
        <f t="shared" si="0"/>
        <v>T24-2013 ExtWall 6in Conc R13</v>
      </c>
      <c r="S48" s="24" t="str">
        <f t="shared" si="0"/>
        <v>T24-2013 UndWall 6in Conc R13</v>
      </c>
    </row>
    <row r="49" spans="2:19" ht="15.75" x14ac:dyDescent="0.25">
      <c r="C49" s="1">
        <v>8</v>
      </c>
      <c r="D49" s="82">
        <v>37</v>
      </c>
      <c r="E49" s="23" t="s">
        <v>401</v>
      </c>
      <c r="F49" s="84" t="s">
        <v>416</v>
      </c>
      <c r="G49" s="23" t="s">
        <v>418</v>
      </c>
      <c r="H49" s="80">
        <v>1</v>
      </c>
      <c r="I49" s="92">
        <v>0</v>
      </c>
      <c r="J49" s="93">
        <v>0</v>
      </c>
      <c r="K49" s="1">
        <v>0.4</v>
      </c>
      <c r="L49" s="1">
        <v>0.35</v>
      </c>
      <c r="M49" s="1">
        <v>0.55000000000000004</v>
      </c>
      <c r="N49" s="91">
        <v>0.3</v>
      </c>
      <c r="O49" s="1">
        <v>30</v>
      </c>
      <c r="P49" s="1">
        <v>19</v>
      </c>
      <c r="Q49" s="1">
        <v>0</v>
      </c>
      <c r="R49" s="24" t="str">
        <f t="shared" si="0"/>
        <v>T24-2013 ExtWall 6in Conc R13</v>
      </c>
      <c r="S49" s="24" t="str">
        <f t="shared" si="0"/>
        <v>T24-2013 UndWall 6in Conc R13</v>
      </c>
    </row>
    <row r="50" spans="2:19" ht="15.75" x14ac:dyDescent="0.25">
      <c r="C50" s="1">
        <v>9</v>
      </c>
      <c r="D50" s="82">
        <v>36</v>
      </c>
      <c r="E50" s="23" t="s">
        <v>402</v>
      </c>
      <c r="F50" s="84" t="s">
        <v>416</v>
      </c>
      <c r="G50" s="23" t="s">
        <v>418</v>
      </c>
      <c r="H50" s="80">
        <v>1</v>
      </c>
      <c r="I50" s="16">
        <v>30269</v>
      </c>
      <c r="J50" s="91">
        <v>13</v>
      </c>
      <c r="K50" s="1">
        <v>0.4</v>
      </c>
      <c r="L50" s="1">
        <v>0.35</v>
      </c>
      <c r="M50" s="1">
        <v>0.55000000000000004</v>
      </c>
      <c r="N50" s="91">
        <v>0.3</v>
      </c>
      <c r="O50" s="1">
        <v>30</v>
      </c>
      <c r="P50" s="1">
        <v>19</v>
      </c>
      <c r="Q50" s="1">
        <v>0</v>
      </c>
      <c r="R50" s="24" t="str">
        <f t="shared" si="0"/>
        <v>T24-2013 ExtWall 6in Conc R13</v>
      </c>
      <c r="S50" s="24" t="str">
        <f t="shared" si="0"/>
        <v>T24-2013 UndWall 6in Conc R13</v>
      </c>
    </row>
    <row r="51" spans="2:19" ht="15.75" x14ac:dyDescent="0.25">
      <c r="C51" s="1">
        <v>10</v>
      </c>
      <c r="D51" s="82">
        <v>35</v>
      </c>
      <c r="E51" s="23" t="s">
        <v>403</v>
      </c>
      <c r="F51" s="84" t="s">
        <v>416</v>
      </c>
      <c r="G51" s="23" t="s">
        <v>417</v>
      </c>
      <c r="H51" s="80">
        <v>1</v>
      </c>
      <c r="I51" s="16">
        <v>30342</v>
      </c>
      <c r="J51" s="91">
        <v>15</v>
      </c>
      <c r="K51" s="1">
        <v>0.4</v>
      </c>
      <c r="L51" s="1">
        <v>0.35</v>
      </c>
      <c r="M51" s="1">
        <v>0.55000000000000004</v>
      </c>
      <c r="N51" s="91">
        <v>0.3</v>
      </c>
      <c r="O51" s="1">
        <v>30</v>
      </c>
      <c r="P51" s="1">
        <v>19</v>
      </c>
      <c r="Q51" s="1">
        <v>0</v>
      </c>
      <c r="R51" s="24" t="str">
        <f t="shared" si="0"/>
        <v>T24-2013 ExtWall 6in Conc R13</v>
      </c>
      <c r="S51" s="24" t="str">
        <f t="shared" si="0"/>
        <v>T24-2013 UndWall 6in Conc R13</v>
      </c>
    </row>
    <row r="52" spans="2:19" ht="15.75" x14ac:dyDescent="0.25">
      <c r="C52" s="1">
        <v>11</v>
      </c>
      <c r="D52" s="82">
        <v>21</v>
      </c>
      <c r="E52" s="23" t="s">
        <v>52</v>
      </c>
      <c r="F52" s="84" t="s">
        <v>419</v>
      </c>
      <c r="G52" s="23" t="s">
        <v>420</v>
      </c>
      <c r="H52" s="80">
        <v>1</v>
      </c>
      <c r="I52" s="16">
        <v>29791</v>
      </c>
      <c r="J52" s="91">
        <v>18</v>
      </c>
      <c r="K52" s="1">
        <v>0.4</v>
      </c>
      <c r="L52" s="1">
        <v>0.35</v>
      </c>
      <c r="M52" s="1">
        <v>0.55000000000000004</v>
      </c>
      <c r="N52" s="91">
        <v>0.3</v>
      </c>
      <c r="O52" s="1">
        <v>38</v>
      </c>
      <c r="P52" s="1">
        <v>19</v>
      </c>
      <c r="Q52" s="1">
        <v>8</v>
      </c>
      <c r="R52" s="24" t="str">
        <f t="shared" si="0"/>
        <v>T24-2013 ExtWall 6in Conc R13</v>
      </c>
      <c r="S52" s="24" t="str">
        <f t="shared" si="0"/>
        <v>T24-2013 UndWall 6in Conc R13</v>
      </c>
    </row>
    <row r="53" spans="2:19" ht="15.75" x14ac:dyDescent="0.25">
      <c r="C53" s="1">
        <v>12</v>
      </c>
      <c r="D53" s="82">
        <v>37</v>
      </c>
      <c r="E53" s="23" t="s">
        <v>395</v>
      </c>
      <c r="F53" s="84" t="s">
        <v>419</v>
      </c>
      <c r="G53" s="23" t="s">
        <v>415</v>
      </c>
      <c r="H53" s="80">
        <v>1</v>
      </c>
      <c r="I53" s="16">
        <v>29556</v>
      </c>
      <c r="J53" s="91">
        <v>17</v>
      </c>
      <c r="K53" s="1">
        <v>0.4</v>
      </c>
      <c r="L53" s="1">
        <v>0.35</v>
      </c>
      <c r="M53" s="1">
        <v>0.55000000000000004</v>
      </c>
      <c r="N53" s="91">
        <v>0.3</v>
      </c>
      <c r="O53" s="1">
        <v>38</v>
      </c>
      <c r="P53" s="1">
        <v>19</v>
      </c>
      <c r="Q53" s="1">
        <v>4</v>
      </c>
      <c r="R53" s="24" t="str">
        <f t="shared" si="0"/>
        <v>T24-2013 ExtWall 6in Conc R13</v>
      </c>
      <c r="S53" s="24" t="str">
        <f t="shared" si="0"/>
        <v>T24-2013 UndWall 6in Conc R13</v>
      </c>
    </row>
    <row r="54" spans="2:19" ht="15.75" x14ac:dyDescent="0.25">
      <c r="C54" s="1">
        <v>13</v>
      </c>
      <c r="D54" s="82">
        <v>30</v>
      </c>
      <c r="E54" s="23" t="s">
        <v>399</v>
      </c>
      <c r="F54" s="84" t="s">
        <v>419</v>
      </c>
      <c r="G54" s="23" t="s">
        <v>410</v>
      </c>
      <c r="H54" s="80">
        <v>1</v>
      </c>
      <c r="I54" s="16">
        <v>29676</v>
      </c>
      <c r="J54" s="91">
        <v>17</v>
      </c>
      <c r="K54" s="1">
        <v>0.4</v>
      </c>
      <c r="L54" s="1">
        <v>0.35</v>
      </c>
      <c r="M54" s="1">
        <v>0.55000000000000004</v>
      </c>
      <c r="N54" s="91">
        <v>0.3</v>
      </c>
      <c r="O54" s="1">
        <v>38</v>
      </c>
      <c r="P54" s="1">
        <v>19</v>
      </c>
      <c r="Q54" s="1">
        <v>8</v>
      </c>
      <c r="R54" s="24" t="str">
        <f t="shared" si="0"/>
        <v>T24-2013 ExtWall 6in Conc R13</v>
      </c>
      <c r="S54" s="24" t="str">
        <f t="shared" si="0"/>
        <v>T24-2013 UndWall 6in Conc R13</v>
      </c>
    </row>
    <row r="55" spans="2:19" ht="15.75" x14ac:dyDescent="0.25">
      <c r="C55" s="1">
        <v>14</v>
      </c>
      <c r="D55" s="82">
        <v>24</v>
      </c>
      <c r="E55" s="23" t="s">
        <v>404</v>
      </c>
      <c r="F55" s="84" t="s">
        <v>411</v>
      </c>
      <c r="G55" s="23" t="s">
        <v>418</v>
      </c>
      <c r="H55" s="80">
        <v>1</v>
      </c>
      <c r="I55" s="16">
        <v>31969</v>
      </c>
      <c r="J55" s="91">
        <v>16</v>
      </c>
      <c r="K55" s="1">
        <v>0.4</v>
      </c>
      <c r="L55" s="1">
        <v>0.35</v>
      </c>
      <c r="M55" s="1">
        <v>0.55000000000000004</v>
      </c>
      <c r="N55" s="91">
        <v>0.3</v>
      </c>
      <c r="O55" s="1">
        <v>38</v>
      </c>
      <c r="P55" s="1">
        <v>19</v>
      </c>
      <c r="Q55" s="1">
        <v>8</v>
      </c>
      <c r="R55" s="24" t="str">
        <f t="shared" si="0"/>
        <v>T24-2013 ExtWall 6in Conc R13</v>
      </c>
      <c r="S55" s="24" t="str">
        <f t="shared" si="0"/>
        <v>T24-2013 UndWall 6in Conc R13</v>
      </c>
    </row>
    <row r="56" spans="2:19" ht="15.75" x14ac:dyDescent="0.25">
      <c r="C56" s="1">
        <v>15</v>
      </c>
      <c r="D56" s="82">
        <v>34</v>
      </c>
      <c r="E56" s="23" t="s">
        <v>405</v>
      </c>
      <c r="F56" s="84" t="s">
        <v>421</v>
      </c>
      <c r="G56" s="23" t="s">
        <v>417</v>
      </c>
      <c r="H56" s="80">
        <v>0</v>
      </c>
      <c r="I56" s="16">
        <v>29536</v>
      </c>
      <c r="J56" s="91">
        <v>19</v>
      </c>
      <c r="K56" s="1">
        <v>0.4</v>
      </c>
      <c r="L56" s="1">
        <v>0.35</v>
      </c>
      <c r="M56" s="1">
        <v>0.55000000000000004</v>
      </c>
      <c r="N56" s="91">
        <v>0.3</v>
      </c>
      <c r="O56" s="1">
        <v>38</v>
      </c>
      <c r="P56" s="1">
        <v>19</v>
      </c>
      <c r="Q56" s="1">
        <v>4</v>
      </c>
      <c r="R56" s="24" t="str">
        <f t="shared" si="0"/>
        <v>T24-2013 ExtWall 6in Conc R13</v>
      </c>
      <c r="S56" s="24" t="str">
        <f t="shared" si="0"/>
        <v>T24-2013 UndWall 6in Conc R13</v>
      </c>
    </row>
    <row r="57" spans="2:19" ht="15.75" x14ac:dyDescent="0.25">
      <c r="C57" s="1">
        <v>16</v>
      </c>
      <c r="D57" s="82">
        <v>24</v>
      </c>
      <c r="E57" s="23" t="s">
        <v>406</v>
      </c>
      <c r="F57" s="84" t="s">
        <v>419</v>
      </c>
      <c r="G57" s="23" t="s">
        <v>420</v>
      </c>
      <c r="H57" s="80">
        <v>0</v>
      </c>
      <c r="I57" s="92">
        <v>0</v>
      </c>
      <c r="J57" s="93">
        <v>0</v>
      </c>
      <c r="K57" s="1">
        <v>0.4</v>
      </c>
      <c r="L57" s="1">
        <v>0.35</v>
      </c>
      <c r="M57" s="1">
        <v>0.55000000000000004</v>
      </c>
      <c r="N57" s="91">
        <v>0.3</v>
      </c>
      <c r="O57" s="1">
        <v>38</v>
      </c>
      <c r="P57" s="1">
        <v>19</v>
      </c>
      <c r="Q57" s="1">
        <v>8</v>
      </c>
      <c r="R57" t="s">
        <v>424</v>
      </c>
      <c r="S57" t="s">
        <v>428</v>
      </c>
    </row>
    <row r="58" spans="2:19" x14ac:dyDescent="0.25">
      <c r="B58" t="s">
        <v>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A39A-EC2E-455F-969E-23262490FCBB}">
  <dimension ref="A1:I50"/>
  <sheetViews>
    <sheetView topLeftCell="A28" zoomScale="110" zoomScaleNormal="110" workbookViewId="0">
      <selection activeCell="F50" sqref="F50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12" customWidth="1"/>
    <col min="5" max="5" width="6.42578125" customWidth="1"/>
    <col min="6" max="6" width="34.7109375" customWidth="1"/>
    <col min="7" max="7" width="3.42578125" customWidth="1"/>
    <col min="8" max="8" width="32.5703125" bestFit="1" customWidth="1"/>
    <col min="9" max="9" width="8.85546875"/>
    <col min="10" max="10" width="11.28515625" customWidth="1"/>
    <col min="11" max="11" width="29.140625" customWidth="1"/>
    <col min="12" max="12" width="28" bestFit="1" customWidth="1"/>
    <col min="13" max="14" width="8.85546875"/>
  </cols>
  <sheetData>
    <row r="1" spans="1:5" x14ac:dyDescent="0.25">
      <c r="A1" t="s">
        <v>0</v>
      </c>
      <c r="B1" t="s">
        <v>1</v>
      </c>
    </row>
    <row r="2" spans="1:5" x14ac:dyDescent="0.25">
      <c r="A2" t="s">
        <v>0</v>
      </c>
      <c r="B2" t="s">
        <v>599</v>
      </c>
    </row>
    <row r="3" spans="1:5" x14ac:dyDescent="0.25">
      <c r="A3" t="s">
        <v>0</v>
      </c>
      <c r="B3" t="s">
        <v>3</v>
      </c>
      <c r="D3" t="s">
        <v>1123</v>
      </c>
    </row>
    <row r="4" spans="1:5" x14ac:dyDescent="0.25">
      <c r="A4" t="s">
        <v>0</v>
      </c>
    </row>
    <row r="5" spans="1:5" x14ac:dyDescent="0.25">
      <c r="A5" t="s">
        <v>0</v>
      </c>
      <c r="B5" t="s">
        <v>4</v>
      </c>
      <c r="D5" t="s">
        <v>600</v>
      </c>
    </row>
    <row r="6" spans="1:5" x14ac:dyDescent="0.25">
      <c r="A6" t="s">
        <v>0</v>
      </c>
      <c r="D6" t="s">
        <v>1122</v>
      </c>
    </row>
    <row r="7" spans="1:5" x14ac:dyDescent="0.25">
      <c r="A7" t="s">
        <v>0</v>
      </c>
    </row>
    <row r="8" spans="1:5" x14ac:dyDescent="0.25">
      <c r="A8" t="s">
        <v>0</v>
      </c>
      <c r="B8" t="s">
        <v>6</v>
      </c>
    </row>
    <row r="9" spans="1:5" x14ac:dyDescent="0.25">
      <c r="A9" t="s">
        <v>0</v>
      </c>
      <c r="C9" s="1">
        <v>1</v>
      </c>
      <c r="D9" t="s">
        <v>1124</v>
      </c>
    </row>
    <row r="10" spans="1:5" x14ac:dyDescent="0.25">
      <c r="A10" t="s">
        <v>0</v>
      </c>
      <c r="C10" s="1">
        <v>2</v>
      </c>
      <c r="D10" t="s">
        <v>32</v>
      </c>
    </row>
    <row r="11" spans="1:5" x14ac:dyDescent="0.25">
      <c r="A11" t="s">
        <v>0</v>
      </c>
      <c r="C11" s="1"/>
    </row>
    <row r="12" spans="1:5" x14ac:dyDescent="0.25">
      <c r="A12" t="s">
        <v>0</v>
      </c>
      <c r="B12" t="s">
        <v>7</v>
      </c>
      <c r="C12" s="1"/>
    </row>
    <row r="13" spans="1:5" x14ac:dyDescent="0.25">
      <c r="A13" t="s">
        <v>0</v>
      </c>
      <c r="C13" s="1">
        <v>1</v>
      </c>
      <c r="D13" t="s">
        <v>602</v>
      </c>
    </row>
    <row r="14" spans="1:5" x14ac:dyDescent="0.25">
      <c r="A14" t="s">
        <v>0</v>
      </c>
      <c r="C14" s="1">
        <v>2</v>
      </c>
      <c r="D14" t="s">
        <v>634</v>
      </c>
    </row>
    <row r="15" spans="1:5" x14ac:dyDescent="0.25">
      <c r="A15" t="s">
        <v>0</v>
      </c>
      <c r="C15" s="1"/>
    </row>
    <row r="16" spans="1:5" x14ac:dyDescent="0.25">
      <c r="B16" t="s">
        <v>633</v>
      </c>
      <c r="D16" s="2"/>
      <c r="E16" s="1"/>
    </row>
    <row r="17" spans="3:7" x14ac:dyDescent="0.25">
      <c r="C17" s="25" t="s">
        <v>1103</v>
      </c>
      <c r="D17" s="25" t="s">
        <v>48</v>
      </c>
      <c r="E17" s="76" t="s">
        <v>601</v>
      </c>
      <c r="F17" s="25" t="s">
        <v>632</v>
      </c>
      <c r="G17" t="s">
        <v>0</v>
      </c>
    </row>
    <row r="18" spans="3:7" x14ac:dyDescent="0.25">
      <c r="C18" s="1">
        <v>2022</v>
      </c>
      <c r="D18" s="1">
        <v>1</v>
      </c>
      <c r="E18" s="2">
        <v>1</v>
      </c>
      <c r="F18" t="s">
        <v>616</v>
      </c>
      <c r="G18" t="s">
        <v>0</v>
      </c>
    </row>
    <row r="19" spans="3:7" x14ac:dyDescent="0.25">
      <c r="C19" s="1">
        <v>2022</v>
      </c>
      <c r="D19" s="1">
        <v>2</v>
      </c>
      <c r="E19" s="2">
        <v>2</v>
      </c>
      <c r="F19" t="s">
        <v>630</v>
      </c>
      <c r="G19" t="s">
        <v>0</v>
      </c>
    </row>
    <row r="20" spans="3:7" x14ac:dyDescent="0.25">
      <c r="C20" s="1">
        <v>2022</v>
      </c>
      <c r="D20" s="1">
        <v>3</v>
      </c>
      <c r="E20" s="2">
        <v>3</v>
      </c>
      <c r="F20" t="s">
        <v>621</v>
      </c>
      <c r="G20" t="s">
        <v>0</v>
      </c>
    </row>
    <row r="21" spans="3:7" x14ac:dyDescent="0.25">
      <c r="C21" s="1">
        <v>2022</v>
      </c>
      <c r="D21" s="1">
        <v>4</v>
      </c>
      <c r="E21" s="2">
        <v>4</v>
      </c>
      <c r="F21" t="s">
        <v>628</v>
      </c>
      <c r="G21" t="s">
        <v>0</v>
      </c>
    </row>
    <row r="22" spans="3:7" x14ac:dyDescent="0.25">
      <c r="C22" s="1">
        <v>2022</v>
      </c>
      <c r="D22" s="1">
        <v>5</v>
      </c>
      <c r="E22" s="2">
        <v>5</v>
      </c>
      <c r="F22" t="s">
        <v>629</v>
      </c>
      <c r="G22" t="s">
        <v>0</v>
      </c>
    </row>
    <row r="23" spans="3:7" x14ac:dyDescent="0.25">
      <c r="C23" s="1">
        <v>2022</v>
      </c>
      <c r="D23" s="1">
        <v>6</v>
      </c>
      <c r="E23" s="2">
        <v>6</v>
      </c>
      <c r="F23" t="s">
        <v>631</v>
      </c>
      <c r="G23" t="s">
        <v>0</v>
      </c>
    </row>
    <row r="24" spans="3:7" x14ac:dyDescent="0.25">
      <c r="C24" s="1">
        <v>2022</v>
      </c>
      <c r="D24" s="1">
        <v>7</v>
      </c>
      <c r="E24" s="2">
        <v>7</v>
      </c>
      <c r="F24" t="s">
        <v>627</v>
      </c>
      <c r="G24" t="s">
        <v>0</v>
      </c>
    </row>
    <row r="25" spans="3:7" x14ac:dyDescent="0.25">
      <c r="C25" s="1">
        <v>2022</v>
      </c>
      <c r="D25" s="1">
        <v>8</v>
      </c>
      <c r="E25" s="2">
        <v>8</v>
      </c>
      <c r="F25" t="s">
        <v>620</v>
      </c>
      <c r="G25" t="s">
        <v>0</v>
      </c>
    </row>
    <row r="26" spans="3:7" x14ac:dyDescent="0.25">
      <c r="C26" s="1">
        <v>2022</v>
      </c>
      <c r="D26" s="1">
        <v>9</v>
      </c>
      <c r="E26" s="2">
        <v>9</v>
      </c>
      <c r="F26" t="s">
        <v>618</v>
      </c>
      <c r="G26" t="s">
        <v>0</v>
      </c>
    </row>
    <row r="27" spans="3:7" x14ac:dyDescent="0.25">
      <c r="C27" s="1">
        <v>2022</v>
      </c>
      <c r="D27" s="1">
        <v>10</v>
      </c>
      <c r="E27" s="2">
        <v>10</v>
      </c>
      <c r="F27" t="s">
        <v>625</v>
      </c>
      <c r="G27" t="s">
        <v>0</v>
      </c>
    </row>
    <row r="28" spans="3:7" x14ac:dyDescent="0.25">
      <c r="C28" s="1">
        <v>2022</v>
      </c>
      <c r="D28" s="1">
        <v>11</v>
      </c>
      <c r="E28" s="2">
        <v>11</v>
      </c>
      <c r="F28" t="s">
        <v>624</v>
      </c>
      <c r="G28" t="s">
        <v>0</v>
      </c>
    </row>
    <row r="29" spans="3:7" x14ac:dyDescent="0.25">
      <c r="C29" s="1">
        <v>2022</v>
      </c>
      <c r="D29" s="1">
        <v>12</v>
      </c>
      <c r="E29" s="2">
        <v>12</v>
      </c>
      <c r="F29" t="s">
        <v>626</v>
      </c>
      <c r="G29" t="s">
        <v>0</v>
      </c>
    </row>
    <row r="30" spans="3:7" x14ac:dyDescent="0.25">
      <c r="C30" s="1">
        <v>2022</v>
      </c>
      <c r="D30" s="1">
        <v>13</v>
      </c>
      <c r="E30" s="2">
        <v>13</v>
      </c>
      <c r="F30" t="s">
        <v>619</v>
      </c>
      <c r="G30" t="s">
        <v>0</v>
      </c>
    </row>
    <row r="31" spans="3:7" x14ac:dyDescent="0.25">
      <c r="C31" s="1">
        <v>2022</v>
      </c>
      <c r="D31" s="1">
        <v>14</v>
      </c>
      <c r="E31" s="2">
        <v>14</v>
      </c>
      <c r="F31" t="s">
        <v>623</v>
      </c>
      <c r="G31" t="s">
        <v>0</v>
      </c>
    </row>
    <row r="32" spans="3:7" x14ac:dyDescent="0.25">
      <c r="C32" s="1">
        <v>2022</v>
      </c>
      <c r="D32" s="1">
        <v>15</v>
      </c>
      <c r="E32" s="2">
        <v>15</v>
      </c>
      <c r="F32" t="s">
        <v>622</v>
      </c>
      <c r="G32" t="s">
        <v>0</v>
      </c>
    </row>
    <row r="33" spans="3:9" x14ac:dyDescent="0.25">
      <c r="C33" s="1">
        <v>2022</v>
      </c>
      <c r="D33" s="1">
        <v>16</v>
      </c>
      <c r="E33" s="2">
        <v>16</v>
      </c>
      <c r="F33" t="s">
        <v>617</v>
      </c>
      <c r="G33" t="s">
        <v>0</v>
      </c>
      <c r="H33" t="s">
        <v>1121</v>
      </c>
    </row>
    <row r="34" spans="3:9" x14ac:dyDescent="0.25">
      <c r="C34" s="156" t="s">
        <v>353</v>
      </c>
      <c r="D34" s="156">
        <v>1</v>
      </c>
      <c r="E34" s="8">
        <v>1</v>
      </c>
      <c r="F34" s="146" t="s">
        <v>1102</v>
      </c>
      <c r="G34" t="s">
        <v>0</v>
      </c>
      <c r="H34" t="s">
        <v>1104</v>
      </c>
      <c r="I34" t="s">
        <v>1120</v>
      </c>
    </row>
    <row r="35" spans="3:9" x14ac:dyDescent="0.25">
      <c r="C35" s="1" t="s">
        <v>353</v>
      </c>
      <c r="D35" s="1">
        <v>2</v>
      </c>
      <c r="E35" s="2">
        <v>2</v>
      </c>
      <c r="F35" t="s">
        <v>1125</v>
      </c>
      <c r="G35" t="s">
        <v>0</v>
      </c>
      <c r="H35" t="s">
        <v>1105</v>
      </c>
    </row>
    <row r="36" spans="3:9" x14ac:dyDescent="0.25">
      <c r="C36" s="1" t="s">
        <v>353</v>
      </c>
      <c r="D36" s="1">
        <v>3</v>
      </c>
      <c r="E36" s="2">
        <v>3</v>
      </c>
      <c r="F36" t="s">
        <v>1126</v>
      </c>
      <c r="G36" t="s">
        <v>0</v>
      </c>
      <c r="H36" t="s">
        <v>1106</v>
      </c>
    </row>
    <row r="37" spans="3:9" x14ac:dyDescent="0.25">
      <c r="C37" s="1" t="s">
        <v>353</v>
      </c>
      <c r="D37" s="1">
        <v>4</v>
      </c>
      <c r="E37" s="2">
        <v>4</v>
      </c>
      <c r="F37" t="s">
        <v>1127</v>
      </c>
      <c r="G37" t="s">
        <v>0</v>
      </c>
      <c r="H37" t="s">
        <v>1107</v>
      </c>
    </row>
    <row r="38" spans="3:9" x14ac:dyDescent="0.25">
      <c r="C38" s="1" t="s">
        <v>353</v>
      </c>
      <c r="D38" s="1">
        <v>5</v>
      </c>
      <c r="E38" s="2">
        <v>5</v>
      </c>
      <c r="F38" t="s">
        <v>1128</v>
      </c>
      <c r="G38" t="s">
        <v>0</v>
      </c>
      <c r="H38" t="s">
        <v>1108</v>
      </c>
    </row>
    <row r="39" spans="3:9" x14ac:dyDescent="0.25">
      <c r="C39" s="1" t="s">
        <v>353</v>
      </c>
      <c r="D39" s="1">
        <v>6</v>
      </c>
      <c r="E39" s="2">
        <v>6</v>
      </c>
      <c r="F39" t="s">
        <v>1129</v>
      </c>
      <c r="G39" t="s">
        <v>0</v>
      </c>
      <c r="H39" t="s">
        <v>1109</v>
      </c>
    </row>
    <row r="40" spans="3:9" x14ac:dyDescent="0.25">
      <c r="C40" s="1" t="s">
        <v>353</v>
      </c>
      <c r="D40" s="1">
        <v>7</v>
      </c>
      <c r="E40" s="2">
        <v>7</v>
      </c>
      <c r="F40" t="s">
        <v>1130</v>
      </c>
      <c r="G40" t="s">
        <v>0</v>
      </c>
      <c r="H40" t="s">
        <v>1110</v>
      </c>
    </row>
    <row r="41" spans="3:9" x14ac:dyDescent="0.25">
      <c r="C41" s="1" t="s">
        <v>353</v>
      </c>
      <c r="D41" s="1">
        <v>8</v>
      </c>
      <c r="E41" s="2">
        <v>8</v>
      </c>
      <c r="F41" t="s">
        <v>1131</v>
      </c>
      <c r="G41" t="s">
        <v>0</v>
      </c>
      <c r="H41" t="s">
        <v>1111</v>
      </c>
    </row>
    <row r="42" spans="3:9" x14ac:dyDescent="0.25">
      <c r="C42" s="1" t="s">
        <v>353</v>
      </c>
      <c r="D42" s="1">
        <v>9</v>
      </c>
      <c r="E42" s="2">
        <v>9</v>
      </c>
      <c r="F42" t="s">
        <v>1132</v>
      </c>
      <c r="G42" t="s">
        <v>0</v>
      </c>
      <c r="H42" t="s">
        <v>1112</v>
      </c>
    </row>
    <row r="43" spans="3:9" x14ac:dyDescent="0.25">
      <c r="C43" s="1" t="s">
        <v>353</v>
      </c>
      <c r="D43" s="1">
        <v>10</v>
      </c>
      <c r="E43" s="2">
        <v>10</v>
      </c>
      <c r="F43" t="s">
        <v>1133</v>
      </c>
      <c r="G43" t="s">
        <v>0</v>
      </c>
      <c r="H43" t="s">
        <v>1113</v>
      </c>
    </row>
    <row r="44" spans="3:9" x14ac:dyDescent="0.25">
      <c r="C44" s="1" t="s">
        <v>353</v>
      </c>
      <c r="D44" s="1">
        <v>11</v>
      </c>
      <c r="E44" s="2">
        <v>11</v>
      </c>
      <c r="F44" t="s">
        <v>1134</v>
      </c>
      <c r="G44" t="s">
        <v>0</v>
      </c>
      <c r="H44" t="s">
        <v>1114</v>
      </c>
    </row>
    <row r="45" spans="3:9" x14ac:dyDescent="0.25">
      <c r="C45" s="1" t="s">
        <v>353</v>
      </c>
      <c r="D45" s="1">
        <v>12</v>
      </c>
      <c r="E45" s="2">
        <v>12</v>
      </c>
      <c r="F45" t="s">
        <v>1135</v>
      </c>
      <c r="G45" t="s">
        <v>0</v>
      </c>
      <c r="H45" t="s">
        <v>1115</v>
      </c>
    </row>
    <row r="46" spans="3:9" x14ac:dyDescent="0.25">
      <c r="C46" s="1" t="s">
        <v>353</v>
      </c>
      <c r="D46" s="1">
        <v>13</v>
      </c>
      <c r="E46" s="2">
        <v>13</v>
      </c>
      <c r="F46" t="s">
        <v>1136</v>
      </c>
      <c r="G46" t="s">
        <v>0</v>
      </c>
      <c r="H46" t="s">
        <v>1116</v>
      </c>
    </row>
    <row r="47" spans="3:9" x14ac:dyDescent="0.25">
      <c r="C47" s="1" t="s">
        <v>353</v>
      </c>
      <c r="D47" s="1">
        <v>14</v>
      </c>
      <c r="E47" s="2">
        <v>14</v>
      </c>
      <c r="F47" t="s">
        <v>1137</v>
      </c>
      <c r="G47" t="s">
        <v>0</v>
      </c>
      <c r="H47" t="s">
        <v>1117</v>
      </c>
    </row>
    <row r="48" spans="3:9" x14ac:dyDescent="0.25">
      <c r="C48" s="1" t="s">
        <v>353</v>
      </c>
      <c r="D48" s="1">
        <v>15</v>
      </c>
      <c r="E48" s="2">
        <v>15</v>
      </c>
      <c r="F48" t="s">
        <v>1138</v>
      </c>
      <c r="G48" t="s">
        <v>0</v>
      </c>
      <c r="H48" t="s">
        <v>1118</v>
      </c>
    </row>
    <row r="49" spans="2:8" x14ac:dyDescent="0.25">
      <c r="C49" s="1" t="s">
        <v>353</v>
      </c>
      <c r="D49" s="1">
        <v>16</v>
      </c>
      <c r="E49" s="2">
        <v>16</v>
      </c>
      <c r="F49" t="s">
        <v>1139</v>
      </c>
      <c r="G49" t="s">
        <v>0</v>
      </c>
      <c r="H49" t="s">
        <v>1119</v>
      </c>
    </row>
    <row r="50" spans="2:8" x14ac:dyDescent="0.25">
      <c r="B50" t="s">
        <v>50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7"/>
  <sheetViews>
    <sheetView topLeftCell="A19" zoomScale="110" zoomScaleNormal="110" workbookViewId="0">
      <selection activeCell="B20" sqref="B20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10.7109375" customWidth="1"/>
    <col min="5" max="5" width="11.140625" customWidth="1"/>
    <col min="8" max="8" width="8.140625" customWidth="1"/>
    <col min="17" max="17" width="11.28515625" customWidth="1"/>
    <col min="18" max="18" width="29.140625" customWidth="1"/>
    <col min="19" max="19" width="28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t="s">
        <v>0</v>
      </c>
      <c r="B2" t="s">
        <v>444</v>
      </c>
    </row>
    <row r="3" spans="1:5" x14ac:dyDescent="0.25">
      <c r="A3" t="s">
        <v>0</v>
      </c>
      <c r="B3" t="s">
        <v>3</v>
      </c>
      <c r="D3" t="s">
        <v>445</v>
      </c>
    </row>
    <row r="4" spans="1:5" x14ac:dyDescent="0.25">
      <c r="A4" t="s">
        <v>0</v>
      </c>
    </row>
    <row r="5" spans="1:5" x14ac:dyDescent="0.25">
      <c r="A5" t="s">
        <v>0</v>
      </c>
      <c r="B5" t="s">
        <v>24</v>
      </c>
      <c r="D5" t="s">
        <v>446</v>
      </c>
    </row>
    <row r="6" spans="1:5" x14ac:dyDescent="0.25">
      <c r="A6" t="s">
        <v>0</v>
      </c>
    </row>
    <row r="7" spans="1:5" x14ac:dyDescent="0.25">
      <c r="A7" t="s">
        <v>0</v>
      </c>
      <c r="B7" t="s">
        <v>4</v>
      </c>
      <c r="D7" t="s">
        <v>447</v>
      </c>
    </row>
    <row r="8" spans="1:5" x14ac:dyDescent="0.25">
      <c r="A8" t="s">
        <v>0</v>
      </c>
    </row>
    <row r="9" spans="1:5" x14ac:dyDescent="0.25">
      <c r="A9" t="s">
        <v>0</v>
      </c>
      <c r="B9" t="s">
        <v>6</v>
      </c>
    </row>
    <row r="10" spans="1:5" x14ac:dyDescent="0.25">
      <c r="A10" t="s">
        <v>0</v>
      </c>
      <c r="C10" s="1">
        <v>1</v>
      </c>
      <c r="D10" t="s">
        <v>32</v>
      </c>
    </row>
    <row r="11" spans="1:5" x14ac:dyDescent="0.25">
      <c r="A11" t="s">
        <v>0</v>
      </c>
      <c r="C11" s="1"/>
    </row>
    <row r="12" spans="1:5" x14ac:dyDescent="0.25">
      <c r="A12" t="s">
        <v>0</v>
      </c>
      <c r="B12" t="s">
        <v>7</v>
      </c>
      <c r="C12" s="1"/>
    </row>
    <row r="13" spans="1:5" x14ac:dyDescent="0.25">
      <c r="A13" t="s">
        <v>0</v>
      </c>
      <c r="C13" s="1">
        <v>1</v>
      </c>
      <c r="D13" t="s">
        <v>448</v>
      </c>
    </row>
    <row r="14" spans="1:5" x14ac:dyDescent="0.25">
      <c r="A14" t="s">
        <v>0</v>
      </c>
      <c r="C14" s="1"/>
    </row>
    <row r="15" spans="1:5" x14ac:dyDescent="0.25">
      <c r="A15" t="s">
        <v>0</v>
      </c>
      <c r="D15" s="1" t="s">
        <v>449</v>
      </c>
      <c r="E15" s="1"/>
    </row>
    <row r="16" spans="1:5" x14ac:dyDescent="0.25">
      <c r="A16" t="s">
        <v>0</v>
      </c>
      <c r="B16" s="1"/>
      <c r="D16" s="2" t="s">
        <v>450</v>
      </c>
      <c r="E16" s="16"/>
    </row>
    <row r="17" spans="1:8" x14ac:dyDescent="0.25">
      <c r="A17" t="s">
        <v>0</v>
      </c>
      <c r="B17" s="1"/>
      <c r="D17" s="2" t="s">
        <v>451</v>
      </c>
      <c r="E17" s="16"/>
    </row>
    <row r="18" spans="1:8" x14ac:dyDescent="0.25">
      <c r="A18" t="s">
        <v>0</v>
      </c>
      <c r="B18" s="1"/>
      <c r="C18" s="18"/>
      <c r="D18" s="3" t="s">
        <v>33</v>
      </c>
      <c r="E18" s="17"/>
    </row>
    <row r="19" spans="1:8" x14ac:dyDescent="0.25">
      <c r="B19" t="s">
        <v>542</v>
      </c>
      <c r="D19" s="2"/>
      <c r="E19" s="16"/>
    </row>
    <row r="20" spans="1:8" x14ac:dyDescent="0.25">
      <c r="C20" s="19" t="s">
        <v>48</v>
      </c>
      <c r="D20" s="20" t="s">
        <v>452</v>
      </c>
      <c r="E20" s="21"/>
      <c r="F20" s="1"/>
      <c r="G20" s="1"/>
      <c r="H20" s="1"/>
    </row>
    <row r="21" spans="1:8" ht="15.75" x14ac:dyDescent="0.25">
      <c r="C21" s="1">
        <v>1</v>
      </c>
      <c r="D21" s="81">
        <v>51.061900000000001</v>
      </c>
      <c r="E21" s="23"/>
      <c r="F21" s="1"/>
    </row>
    <row r="22" spans="1:8" ht="15.75" x14ac:dyDescent="0.25">
      <c r="C22" s="1">
        <v>2</v>
      </c>
      <c r="D22" s="82">
        <v>56.978200000000001</v>
      </c>
      <c r="E22" s="23"/>
      <c r="F22" s="1"/>
      <c r="G22" s="24"/>
      <c r="H22" s="24"/>
    </row>
    <row r="23" spans="1:8" ht="15.75" x14ac:dyDescent="0.25">
      <c r="C23" s="1">
        <v>3</v>
      </c>
      <c r="D23" s="82">
        <v>56.754600000000003</v>
      </c>
      <c r="E23" s="23"/>
      <c r="F23" s="1"/>
      <c r="G23" s="24"/>
      <c r="H23" s="24"/>
    </row>
    <row r="24" spans="1:8" ht="15.75" x14ac:dyDescent="0.25">
      <c r="C24" s="1">
        <v>4</v>
      </c>
      <c r="D24" s="82">
        <v>59.234000000000002</v>
      </c>
      <c r="E24" s="23"/>
      <c r="F24" s="1"/>
      <c r="G24" s="24"/>
      <c r="H24" s="24"/>
    </row>
    <row r="25" spans="1:8" ht="15.75" x14ac:dyDescent="0.25">
      <c r="C25" s="1">
        <v>5</v>
      </c>
      <c r="D25" s="82">
        <v>55.514400000000002</v>
      </c>
      <c r="E25" s="23"/>
      <c r="F25" s="1"/>
      <c r="G25" s="24"/>
      <c r="H25" s="24"/>
    </row>
    <row r="26" spans="1:8" ht="15.75" x14ac:dyDescent="0.25">
      <c r="C26" s="1">
        <v>6</v>
      </c>
      <c r="D26" s="82">
        <v>61.4636</v>
      </c>
      <c r="E26" s="23"/>
      <c r="F26" s="1"/>
      <c r="G26" s="24"/>
      <c r="H26" s="24"/>
    </row>
    <row r="27" spans="1:8" ht="15.75" x14ac:dyDescent="0.25">
      <c r="C27" s="1">
        <v>7</v>
      </c>
      <c r="D27" s="82">
        <v>62.2239</v>
      </c>
      <c r="E27" s="23"/>
      <c r="F27" s="1"/>
      <c r="G27" s="24"/>
      <c r="H27" s="24"/>
    </row>
    <row r="28" spans="1:8" ht="15.75" x14ac:dyDescent="0.25">
      <c r="C28" s="1">
        <v>8</v>
      </c>
      <c r="D28" s="82">
        <v>63.441800000000001</v>
      </c>
      <c r="E28" s="23"/>
      <c r="F28" s="1"/>
      <c r="G28" s="24"/>
      <c r="H28" s="24"/>
    </row>
    <row r="29" spans="1:8" ht="15.75" x14ac:dyDescent="0.25">
      <c r="C29" s="1">
        <v>9</v>
      </c>
      <c r="D29" s="82">
        <v>63.526899999999998</v>
      </c>
      <c r="E29" s="23"/>
      <c r="F29" s="1"/>
      <c r="G29" s="24"/>
      <c r="H29" s="24"/>
    </row>
    <row r="30" spans="1:8" ht="15.75" x14ac:dyDescent="0.25">
      <c r="C30" s="1">
        <v>10</v>
      </c>
      <c r="D30" s="82">
        <v>63.871200000000002</v>
      </c>
      <c r="E30" s="23"/>
      <c r="F30" s="1"/>
      <c r="G30" s="24"/>
      <c r="H30" s="24"/>
    </row>
    <row r="31" spans="1:8" ht="15.75" x14ac:dyDescent="0.25">
      <c r="C31" s="1">
        <v>11</v>
      </c>
      <c r="D31" s="82">
        <v>62.966099999999997</v>
      </c>
      <c r="E31" s="23"/>
      <c r="F31" s="1"/>
      <c r="G31" s="24"/>
      <c r="H31" s="24"/>
    </row>
    <row r="32" spans="1:8" ht="15.75" x14ac:dyDescent="0.25">
      <c r="C32" s="1">
        <v>12</v>
      </c>
      <c r="D32" s="82">
        <v>60.611899999999999</v>
      </c>
      <c r="E32" s="23"/>
      <c r="F32" s="1"/>
      <c r="G32" s="24"/>
      <c r="H32" s="24"/>
    </row>
    <row r="33" spans="2:8" ht="15.75" x14ac:dyDescent="0.25">
      <c r="C33" s="1">
        <v>13</v>
      </c>
      <c r="D33" s="82">
        <v>63.849299999999999</v>
      </c>
      <c r="E33" s="23"/>
      <c r="F33" s="1"/>
      <c r="G33" s="24"/>
      <c r="H33" s="24"/>
    </row>
    <row r="34" spans="2:8" ht="15.75" x14ac:dyDescent="0.25">
      <c r="C34" s="1">
        <v>14</v>
      </c>
      <c r="D34" s="82">
        <v>62.435000000000002</v>
      </c>
      <c r="E34" s="23"/>
      <c r="F34" s="1"/>
      <c r="G34" s="24"/>
      <c r="H34" s="24"/>
    </row>
    <row r="35" spans="2:8" ht="15.75" x14ac:dyDescent="0.25">
      <c r="C35" s="1">
        <v>15</v>
      </c>
      <c r="D35" s="82">
        <v>75.212699999999998</v>
      </c>
      <c r="E35" s="23"/>
      <c r="F35" s="1"/>
      <c r="G35" s="24"/>
      <c r="H35" s="24"/>
    </row>
    <row r="36" spans="2:8" ht="15.75" x14ac:dyDescent="0.25">
      <c r="C36" s="1">
        <v>16</v>
      </c>
      <c r="D36" s="82">
        <v>51.525700000000001</v>
      </c>
      <c r="E36" s="23"/>
      <c r="F36" s="1"/>
    </row>
    <row r="37" spans="2:8" x14ac:dyDescent="0.25">
      <c r="B37" t="s">
        <v>50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topLeftCell="A16" zoomScale="110" zoomScaleNormal="110" workbookViewId="0">
      <selection activeCell="B20" sqref="B20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10.7109375" customWidth="1"/>
    <col min="5" max="5" width="11.140625" customWidth="1"/>
    <col min="8" max="8" width="8.140625" customWidth="1"/>
    <col min="17" max="17" width="11.28515625" customWidth="1"/>
    <col min="18" max="18" width="29.140625" customWidth="1"/>
    <col min="19" max="19" width="28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t="s">
        <v>0</v>
      </c>
      <c r="B2" t="s">
        <v>455</v>
      </c>
    </row>
    <row r="3" spans="1:5" x14ac:dyDescent="0.25">
      <c r="A3" t="s">
        <v>0</v>
      </c>
      <c r="B3" t="s">
        <v>3</v>
      </c>
      <c r="D3" t="s">
        <v>453</v>
      </c>
    </row>
    <row r="4" spans="1:5" x14ac:dyDescent="0.25">
      <c r="A4" t="s">
        <v>0</v>
      </c>
    </row>
    <row r="5" spans="1:5" x14ac:dyDescent="0.25">
      <c r="A5" t="s">
        <v>0</v>
      </c>
      <c r="B5" t="s">
        <v>24</v>
      </c>
      <c r="D5" t="s">
        <v>454</v>
      </c>
    </row>
    <row r="6" spans="1:5" x14ac:dyDescent="0.25">
      <c r="A6" t="s">
        <v>0</v>
      </c>
    </row>
    <row r="7" spans="1:5" x14ac:dyDescent="0.25">
      <c r="A7" t="s">
        <v>0</v>
      </c>
      <c r="B7" t="s">
        <v>4</v>
      </c>
      <c r="D7" t="s">
        <v>456</v>
      </c>
    </row>
    <row r="8" spans="1:5" x14ac:dyDescent="0.25">
      <c r="A8" t="s">
        <v>0</v>
      </c>
    </row>
    <row r="9" spans="1:5" x14ac:dyDescent="0.25">
      <c r="A9" t="s">
        <v>0</v>
      </c>
      <c r="B9" t="s">
        <v>6</v>
      </c>
    </row>
    <row r="10" spans="1:5" x14ac:dyDescent="0.25">
      <c r="A10" t="s">
        <v>0</v>
      </c>
      <c r="C10" s="1">
        <v>1</v>
      </c>
      <c r="D10" t="s">
        <v>32</v>
      </c>
    </row>
    <row r="11" spans="1:5" x14ac:dyDescent="0.25">
      <c r="A11" t="s">
        <v>0</v>
      </c>
      <c r="C11" s="1"/>
    </row>
    <row r="12" spans="1:5" x14ac:dyDescent="0.25">
      <c r="A12" t="s">
        <v>0</v>
      </c>
      <c r="B12" t="s">
        <v>7</v>
      </c>
      <c r="C12" s="1"/>
    </row>
    <row r="13" spans="1:5" x14ac:dyDescent="0.25">
      <c r="A13" t="s">
        <v>0</v>
      </c>
      <c r="C13" s="1">
        <v>1</v>
      </c>
      <c r="D13" t="s">
        <v>457</v>
      </c>
    </row>
    <row r="14" spans="1:5" x14ac:dyDescent="0.25">
      <c r="A14" t="s">
        <v>0</v>
      </c>
      <c r="C14" s="1"/>
    </row>
    <row r="15" spans="1:5" x14ac:dyDescent="0.25">
      <c r="A15" t="s">
        <v>0</v>
      </c>
      <c r="D15" s="1" t="s">
        <v>458</v>
      </c>
      <c r="E15" s="1"/>
    </row>
    <row r="16" spans="1:5" x14ac:dyDescent="0.25">
      <c r="A16" t="s">
        <v>0</v>
      </c>
      <c r="B16" s="1"/>
      <c r="D16" s="2" t="s">
        <v>459</v>
      </c>
      <c r="E16" s="16"/>
    </row>
    <row r="17" spans="1:8" x14ac:dyDescent="0.25">
      <c r="A17" t="s">
        <v>0</v>
      </c>
      <c r="B17" s="1"/>
      <c r="D17" s="2" t="s">
        <v>460</v>
      </c>
      <c r="E17" s="16"/>
    </row>
    <row r="18" spans="1:8" x14ac:dyDescent="0.25">
      <c r="A18" t="s">
        <v>0</v>
      </c>
      <c r="B18" s="1"/>
      <c r="C18" s="18"/>
      <c r="D18" s="3" t="s">
        <v>461</v>
      </c>
      <c r="E18" s="17"/>
    </row>
    <row r="19" spans="1:8" x14ac:dyDescent="0.25">
      <c r="B19" t="s">
        <v>543</v>
      </c>
      <c r="D19" s="2"/>
      <c r="E19" s="16"/>
    </row>
    <row r="20" spans="1:8" x14ac:dyDescent="0.25">
      <c r="C20" s="19" t="s">
        <v>48</v>
      </c>
      <c r="D20" s="20" t="s">
        <v>462</v>
      </c>
      <c r="E20" s="21"/>
      <c r="F20" s="1"/>
      <c r="G20" s="1"/>
      <c r="H20" s="1"/>
    </row>
    <row r="21" spans="1:8" ht="15.75" x14ac:dyDescent="0.25">
      <c r="C21" s="1">
        <v>1</v>
      </c>
      <c r="D21" s="81">
        <v>1.04</v>
      </c>
      <c r="E21" s="23"/>
      <c r="F21" s="1"/>
    </row>
    <row r="22" spans="1:8" ht="15.75" x14ac:dyDescent="0.25">
      <c r="C22" s="1">
        <v>2</v>
      </c>
      <c r="D22" s="82">
        <v>0.99</v>
      </c>
      <c r="E22" s="23"/>
      <c r="F22" s="1"/>
      <c r="G22" s="24"/>
    </row>
    <row r="23" spans="1:8" ht="15.75" x14ac:dyDescent="0.25">
      <c r="C23" s="1">
        <v>3</v>
      </c>
      <c r="D23" s="82">
        <v>0.99</v>
      </c>
      <c r="E23" s="23"/>
      <c r="F23" s="1"/>
      <c r="G23" s="24"/>
    </row>
    <row r="24" spans="1:8" ht="15.75" x14ac:dyDescent="0.25">
      <c r="C24" s="1">
        <v>4</v>
      </c>
      <c r="D24" s="82">
        <v>1.07</v>
      </c>
      <c r="E24" s="23"/>
      <c r="F24" s="1"/>
      <c r="G24" s="24"/>
    </row>
    <row r="25" spans="1:8" ht="15.75" x14ac:dyDescent="0.25">
      <c r="C25" s="1">
        <v>5</v>
      </c>
      <c r="D25" s="82">
        <v>1.07</v>
      </c>
      <c r="E25" s="23"/>
      <c r="F25" s="1"/>
      <c r="G25" s="24"/>
    </row>
    <row r="26" spans="1:8" ht="15.75" x14ac:dyDescent="0.25">
      <c r="C26" s="1">
        <v>6</v>
      </c>
      <c r="D26" s="82">
        <v>0.92</v>
      </c>
      <c r="E26" s="23"/>
      <c r="F26" s="1"/>
      <c r="G26" s="24"/>
    </row>
    <row r="27" spans="1:8" ht="15.75" x14ac:dyDescent="0.25">
      <c r="C27" s="1">
        <v>7</v>
      </c>
      <c r="D27" s="82">
        <v>0.92</v>
      </c>
      <c r="E27" s="23"/>
      <c r="F27" s="1"/>
      <c r="G27" s="24"/>
    </row>
    <row r="28" spans="1:8" ht="15.75" x14ac:dyDescent="0.25">
      <c r="C28" s="1">
        <v>8</v>
      </c>
      <c r="D28" s="82">
        <v>0.92</v>
      </c>
      <c r="E28" s="23"/>
      <c r="F28" s="1"/>
      <c r="G28" s="24"/>
    </row>
    <row r="29" spans="1:8" ht="15.75" x14ac:dyDescent="0.25">
      <c r="C29" s="1">
        <v>9</v>
      </c>
      <c r="D29" s="82">
        <v>0.92</v>
      </c>
      <c r="E29" s="23"/>
      <c r="F29" s="1"/>
      <c r="G29" s="24"/>
    </row>
    <row r="30" spans="1:8" ht="15.75" x14ac:dyDescent="0.25">
      <c r="C30" s="1">
        <v>10</v>
      </c>
      <c r="D30" s="82">
        <v>0.92</v>
      </c>
      <c r="E30" s="23"/>
      <c r="F30" s="1"/>
      <c r="G30" s="24"/>
      <c r="H30" s="24"/>
    </row>
    <row r="31" spans="1:8" ht="15.75" x14ac:dyDescent="0.25">
      <c r="C31" s="1">
        <v>11</v>
      </c>
      <c r="D31" s="82">
        <v>0.92</v>
      </c>
      <c r="E31" s="23"/>
      <c r="F31" s="1"/>
      <c r="G31" s="24"/>
      <c r="H31" s="24"/>
    </row>
    <row r="32" spans="1:8" ht="15.75" x14ac:dyDescent="0.25">
      <c r="C32" s="1">
        <v>12</v>
      </c>
      <c r="D32" s="82">
        <v>1.07</v>
      </c>
      <c r="E32" s="23"/>
      <c r="F32" s="1"/>
      <c r="G32" s="24"/>
      <c r="H32" s="24"/>
    </row>
    <row r="33" spans="2:8" ht="15.75" x14ac:dyDescent="0.25">
      <c r="C33" s="1">
        <v>13</v>
      </c>
      <c r="D33" s="82">
        <v>0.92</v>
      </c>
      <c r="E33" s="23"/>
      <c r="F33" s="1"/>
      <c r="G33" s="24"/>
      <c r="H33" s="24"/>
    </row>
    <row r="34" spans="2:8" ht="15.75" x14ac:dyDescent="0.25">
      <c r="C34" s="1">
        <v>14</v>
      </c>
      <c r="D34" s="82">
        <v>1.04</v>
      </c>
      <c r="E34" s="23"/>
      <c r="F34" s="1"/>
      <c r="G34" s="24"/>
      <c r="H34" s="24"/>
    </row>
    <row r="35" spans="2:8" ht="15.75" x14ac:dyDescent="0.25">
      <c r="C35" s="1">
        <v>15</v>
      </c>
      <c r="D35" s="82">
        <v>0.92</v>
      </c>
      <c r="E35" s="23"/>
      <c r="F35" s="1"/>
      <c r="G35" s="24"/>
      <c r="H35" s="24"/>
    </row>
    <row r="36" spans="2:8" ht="15.75" x14ac:dyDescent="0.25">
      <c r="C36" s="1">
        <v>16</v>
      </c>
      <c r="D36" s="82">
        <v>1.5</v>
      </c>
      <c r="E36" s="23"/>
      <c r="F36" s="1"/>
    </row>
    <row r="37" spans="2:8" x14ac:dyDescent="0.25">
      <c r="B37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8"/>
  <sheetViews>
    <sheetView topLeftCell="A10" zoomScale="110" zoomScaleNormal="110" workbookViewId="0">
      <selection activeCell="B20" sqref="B20"/>
    </sheetView>
  </sheetViews>
  <sheetFormatPr defaultRowHeight="15" x14ac:dyDescent="0.25"/>
  <cols>
    <col min="1" max="1" width="2.5703125" customWidth="1"/>
    <col min="2" max="2" width="4.42578125" customWidth="1"/>
    <col min="3" max="3" width="10.7109375" customWidth="1"/>
    <col min="4" max="4" width="10.5703125" customWidth="1"/>
    <col min="5" max="6" width="10.7109375" customWidth="1"/>
    <col min="7" max="7" width="10.85546875" customWidth="1"/>
    <col min="8" max="8" width="3.140625" customWidth="1"/>
    <col min="9" max="9" width="22" style="54" customWidth="1"/>
    <col min="10" max="10" width="21.7109375" customWidth="1"/>
    <col min="11" max="11" width="29.85546875" customWidth="1"/>
    <col min="19" max="19" width="11.28515625" customWidth="1"/>
    <col min="20" max="20" width="29.140625" customWidth="1"/>
    <col min="21" max="21" width="28" bestFit="1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0</v>
      </c>
      <c r="B2" t="s">
        <v>463</v>
      </c>
    </row>
    <row r="3" spans="1:4" x14ac:dyDescent="0.25">
      <c r="A3" t="s">
        <v>0</v>
      </c>
      <c r="B3" t="s">
        <v>3</v>
      </c>
      <c r="D3" t="s">
        <v>453</v>
      </c>
    </row>
    <row r="4" spans="1:4" x14ac:dyDescent="0.25">
      <c r="A4" t="s">
        <v>0</v>
      </c>
    </row>
    <row r="5" spans="1:4" x14ac:dyDescent="0.25">
      <c r="A5" t="s">
        <v>0</v>
      </c>
      <c r="B5" t="s">
        <v>24</v>
      </c>
      <c r="D5" t="s">
        <v>464</v>
      </c>
    </row>
    <row r="6" spans="1:4" x14ac:dyDescent="0.25">
      <c r="A6" t="s">
        <v>0</v>
      </c>
    </row>
    <row r="7" spans="1:4" x14ac:dyDescent="0.25">
      <c r="A7" t="s">
        <v>0</v>
      </c>
      <c r="B7" t="s">
        <v>4</v>
      </c>
      <c r="D7" t="s">
        <v>456</v>
      </c>
    </row>
    <row r="8" spans="1:4" x14ac:dyDescent="0.25">
      <c r="A8" t="s">
        <v>0</v>
      </c>
    </row>
    <row r="9" spans="1:4" x14ac:dyDescent="0.25">
      <c r="A9" t="s">
        <v>0</v>
      </c>
      <c r="B9" t="s">
        <v>6</v>
      </c>
    </row>
    <row r="10" spans="1:4" x14ac:dyDescent="0.25">
      <c r="A10" t="s">
        <v>0</v>
      </c>
      <c r="C10" s="1">
        <v>1</v>
      </c>
      <c r="D10" t="s">
        <v>477</v>
      </c>
    </row>
    <row r="11" spans="1:4" x14ac:dyDescent="0.25">
      <c r="A11" t="s">
        <v>0</v>
      </c>
      <c r="C11" s="1">
        <v>2</v>
      </c>
      <c r="D11" t="s">
        <v>465</v>
      </c>
    </row>
    <row r="12" spans="1:4" x14ac:dyDescent="0.25">
      <c r="A12" t="s">
        <v>0</v>
      </c>
      <c r="C12" s="1"/>
    </row>
    <row r="13" spans="1:4" x14ac:dyDescent="0.25">
      <c r="A13" t="s">
        <v>0</v>
      </c>
      <c r="B13" t="s">
        <v>7</v>
      </c>
      <c r="C13" s="1"/>
    </row>
    <row r="14" spans="1:4" x14ac:dyDescent="0.25">
      <c r="A14" t="s">
        <v>0</v>
      </c>
      <c r="C14" s="1">
        <v>1</v>
      </c>
      <c r="D14" t="s">
        <v>466</v>
      </c>
    </row>
    <row r="15" spans="1:4" x14ac:dyDescent="0.25">
      <c r="A15" t="s">
        <v>0</v>
      </c>
      <c r="C15" s="1">
        <v>2</v>
      </c>
      <c r="D15" t="s">
        <v>467</v>
      </c>
    </row>
    <row r="16" spans="1:4" x14ac:dyDescent="0.25">
      <c r="A16" t="s">
        <v>0</v>
      </c>
      <c r="C16" s="1">
        <v>3</v>
      </c>
      <c r="D16" t="s">
        <v>468</v>
      </c>
    </row>
    <row r="17" spans="1:11" x14ac:dyDescent="0.25">
      <c r="A17" t="s">
        <v>0</v>
      </c>
      <c r="C17" s="1"/>
      <c r="D17" s="1"/>
    </row>
    <row r="18" spans="1:11" x14ac:dyDescent="0.25">
      <c r="A18" t="s">
        <v>0</v>
      </c>
      <c r="E18" s="1"/>
      <c r="F18" s="1"/>
    </row>
    <row r="19" spans="1:11" x14ac:dyDescent="0.25">
      <c r="B19" t="s">
        <v>489</v>
      </c>
      <c r="E19" s="2"/>
      <c r="F19" s="16"/>
    </row>
    <row r="20" spans="1:11" x14ac:dyDescent="0.25">
      <c r="C20" s="22" t="s">
        <v>476</v>
      </c>
      <c r="D20" s="22" t="s">
        <v>471</v>
      </c>
      <c r="E20" s="20" t="s">
        <v>469</v>
      </c>
      <c r="F20" s="21" t="s">
        <v>470</v>
      </c>
      <c r="G20" s="21" t="s">
        <v>472</v>
      </c>
      <c r="H20" s="1"/>
      <c r="I20" s="132" t="s">
        <v>478</v>
      </c>
      <c r="J20" s="19" t="s">
        <v>479</v>
      </c>
      <c r="K20" s="19" t="s">
        <v>488</v>
      </c>
    </row>
    <row r="21" spans="1:11" x14ac:dyDescent="0.25">
      <c r="C21" s="1">
        <v>0</v>
      </c>
      <c r="D21" s="1" t="s">
        <v>353</v>
      </c>
      <c r="E21" s="2">
        <v>1.01E-2</v>
      </c>
      <c r="F21" s="16">
        <v>11.8</v>
      </c>
      <c r="G21" s="16">
        <v>5</v>
      </c>
      <c r="H21" s="61" t="s">
        <v>0</v>
      </c>
      <c r="I21" s="135" t="s">
        <v>480</v>
      </c>
      <c r="J21" s="141" t="s">
        <v>483</v>
      </c>
      <c r="K21" s="144" t="s">
        <v>487</v>
      </c>
    </row>
    <row r="22" spans="1:11" x14ac:dyDescent="0.25">
      <c r="C22" s="1">
        <v>3</v>
      </c>
      <c r="D22" s="1" t="s">
        <v>353</v>
      </c>
      <c r="E22" s="111">
        <f t="shared" ref="E22:G23" si="0">E21</f>
        <v>1.01E-2</v>
      </c>
      <c r="F22" s="92">
        <f t="shared" si="0"/>
        <v>11.8</v>
      </c>
      <c r="G22" s="92">
        <f t="shared" si="0"/>
        <v>5</v>
      </c>
      <c r="H22" s="61" t="s">
        <v>0</v>
      </c>
      <c r="I22" s="135" t="s">
        <v>481</v>
      </c>
      <c r="J22" s="142" t="s">
        <v>483</v>
      </c>
      <c r="K22" s="144"/>
    </row>
    <row r="23" spans="1:11" x14ac:dyDescent="0.25">
      <c r="C23" s="22">
        <v>6</v>
      </c>
      <c r="D23" s="22" t="s">
        <v>353</v>
      </c>
      <c r="E23" s="112">
        <f t="shared" si="0"/>
        <v>1.01E-2</v>
      </c>
      <c r="F23" s="133">
        <f t="shared" si="0"/>
        <v>11.8</v>
      </c>
      <c r="G23" s="133">
        <f t="shared" si="0"/>
        <v>5</v>
      </c>
      <c r="H23" s="134" t="s">
        <v>0</v>
      </c>
      <c r="I23" s="136" t="s">
        <v>482</v>
      </c>
      <c r="J23" s="143" t="s">
        <v>483</v>
      </c>
      <c r="K23" s="144"/>
    </row>
    <row r="24" spans="1:11" x14ac:dyDescent="0.25">
      <c r="C24" s="1" t="s">
        <v>353</v>
      </c>
      <c r="D24" s="1">
        <v>0</v>
      </c>
      <c r="E24" s="2">
        <v>1.1299999999999999E-2</v>
      </c>
      <c r="F24" s="16">
        <v>11.8</v>
      </c>
      <c r="G24" s="16">
        <v>5</v>
      </c>
      <c r="H24" s="61" t="s">
        <v>0</v>
      </c>
      <c r="I24" s="135" t="s">
        <v>484</v>
      </c>
      <c r="J24" s="137" t="s">
        <v>473</v>
      </c>
      <c r="K24" s="144" t="s">
        <v>486</v>
      </c>
    </row>
    <row r="25" spans="1:11" x14ac:dyDescent="0.25">
      <c r="C25" s="1" t="s">
        <v>353</v>
      </c>
      <c r="D25" s="1">
        <v>1</v>
      </c>
      <c r="E25" s="111">
        <f t="shared" ref="E25:G26" si="1">E24</f>
        <v>1.1299999999999999E-2</v>
      </c>
      <c r="F25" s="92">
        <f t="shared" si="1"/>
        <v>11.8</v>
      </c>
      <c r="G25" s="92">
        <f t="shared" si="1"/>
        <v>5</v>
      </c>
      <c r="H25" s="61" t="s">
        <v>0</v>
      </c>
      <c r="I25" s="139" t="s">
        <v>484</v>
      </c>
      <c r="J25" s="137" t="s">
        <v>474</v>
      </c>
      <c r="K25" s="144"/>
    </row>
    <row r="26" spans="1:11" x14ac:dyDescent="0.25">
      <c r="C26" s="22" t="s">
        <v>353</v>
      </c>
      <c r="D26" s="22">
        <v>3</v>
      </c>
      <c r="E26" s="112">
        <f t="shared" si="1"/>
        <v>1.1299999999999999E-2</v>
      </c>
      <c r="F26" s="133">
        <f t="shared" si="1"/>
        <v>11.8</v>
      </c>
      <c r="G26" s="133">
        <f t="shared" si="1"/>
        <v>5</v>
      </c>
      <c r="H26" s="134" t="s">
        <v>0</v>
      </c>
      <c r="I26" s="140" t="s">
        <v>484</v>
      </c>
      <c r="J26" s="138" t="s">
        <v>475</v>
      </c>
      <c r="K26" s="144"/>
    </row>
    <row r="27" spans="1:11" x14ac:dyDescent="0.25">
      <c r="C27" s="1" t="s">
        <v>353</v>
      </c>
      <c r="D27" s="1" t="s">
        <v>353</v>
      </c>
      <c r="E27" s="2">
        <v>7.9299999999999995E-3</v>
      </c>
      <c r="F27" s="16">
        <v>15.67</v>
      </c>
      <c r="G27" s="16">
        <v>1.9</v>
      </c>
      <c r="H27" s="61" t="s">
        <v>0</v>
      </c>
      <c r="I27" s="139" t="s">
        <v>484</v>
      </c>
      <c r="J27" s="142" t="s">
        <v>483</v>
      </c>
      <c r="K27" s="144" t="s">
        <v>485</v>
      </c>
    </row>
    <row r="28" spans="1:11" x14ac:dyDescent="0.25">
      <c r="B28" t="s">
        <v>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5"/>
  <sheetViews>
    <sheetView tabSelected="1" topLeftCell="C1" workbookViewId="0">
      <selection activeCell="G27" sqref="G27"/>
    </sheetView>
  </sheetViews>
  <sheetFormatPr defaultRowHeight="15" x14ac:dyDescent="0.25"/>
  <cols>
    <col min="4" max="4" width="20.85546875" customWidth="1"/>
    <col min="5" max="5" width="15.5703125" customWidth="1"/>
    <col min="6" max="6" width="13.85546875" customWidth="1"/>
    <col min="7" max="7" width="14.42578125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0</v>
      </c>
      <c r="B2" t="s">
        <v>490</v>
      </c>
    </row>
    <row r="3" spans="1:4" x14ac:dyDescent="0.25">
      <c r="A3" t="s">
        <v>0</v>
      </c>
      <c r="B3" t="s">
        <v>491</v>
      </c>
    </row>
    <row r="4" spans="1:4" x14ac:dyDescent="0.25">
      <c r="A4" t="s">
        <v>0</v>
      </c>
      <c r="B4" t="s">
        <v>492</v>
      </c>
      <c r="D4" t="s">
        <v>493</v>
      </c>
    </row>
    <row r="5" spans="1:4" x14ac:dyDescent="0.25">
      <c r="A5" t="s">
        <v>0</v>
      </c>
      <c r="B5" t="s">
        <v>3</v>
      </c>
      <c r="D5" t="s">
        <v>1176</v>
      </c>
    </row>
    <row r="6" spans="1:4" x14ac:dyDescent="0.25">
      <c r="A6" t="s">
        <v>0</v>
      </c>
      <c r="D6" t="s">
        <v>1174</v>
      </c>
    </row>
    <row r="7" spans="1:4" x14ac:dyDescent="0.25">
      <c r="A7" t="s">
        <v>0</v>
      </c>
    </row>
    <row r="8" spans="1:4" x14ac:dyDescent="0.25">
      <c r="A8" t="s">
        <v>0</v>
      </c>
      <c r="B8" t="s">
        <v>24</v>
      </c>
      <c r="D8" t="s">
        <v>494</v>
      </c>
    </row>
    <row r="9" spans="1:4" x14ac:dyDescent="0.25">
      <c r="A9" t="s">
        <v>0</v>
      </c>
    </row>
    <row r="10" spans="1:4" x14ac:dyDescent="0.25">
      <c r="A10" t="s">
        <v>0</v>
      </c>
      <c r="B10" t="s">
        <v>4</v>
      </c>
    </row>
    <row r="11" spans="1:4" x14ac:dyDescent="0.25">
      <c r="A11" t="s">
        <v>0</v>
      </c>
    </row>
    <row r="12" spans="1:4" x14ac:dyDescent="0.25">
      <c r="A12" t="s">
        <v>0</v>
      </c>
      <c r="B12" t="s">
        <v>6</v>
      </c>
      <c r="D12" t="s">
        <v>495</v>
      </c>
    </row>
    <row r="13" spans="1:4" x14ac:dyDescent="0.25">
      <c r="A13" t="s">
        <v>0</v>
      </c>
      <c r="C13">
        <v>1</v>
      </c>
      <c r="D13" t="s">
        <v>496</v>
      </c>
    </row>
    <row r="14" spans="1:4" x14ac:dyDescent="0.25">
      <c r="A14" t="s">
        <v>0</v>
      </c>
      <c r="C14">
        <v>2</v>
      </c>
      <c r="D14" t="s">
        <v>1180</v>
      </c>
    </row>
    <row r="15" spans="1:4" x14ac:dyDescent="0.25">
      <c r="A15" t="s">
        <v>0</v>
      </c>
      <c r="C15">
        <v>3</v>
      </c>
      <c r="D15" t="s">
        <v>497</v>
      </c>
    </row>
    <row r="16" spans="1:4" x14ac:dyDescent="0.25">
      <c r="A16" t="s">
        <v>0</v>
      </c>
      <c r="C16">
        <v>4</v>
      </c>
      <c r="D16" t="s">
        <v>1181</v>
      </c>
    </row>
    <row r="17" spans="1:7" x14ac:dyDescent="0.25">
      <c r="A17" t="s">
        <v>0</v>
      </c>
    </row>
    <row r="18" spans="1:7" x14ac:dyDescent="0.25">
      <c r="A18" t="s">
        <v>0</v>
      </c>
    </row>
    <row r="19" spans="1:7" x14ac:dyDescent="0.25">
      <c r="A19" t="s">
        <v>0</v>
      </c>
      <c r="B19" t="s">
        <v>500</v>
      </c>
    </row>
    <row r="20" spans="1:7" x14ac:dyDescent="0.25">
      <c r="B20" s="145" t="s">
        <v>544</v>
      </c>
      <c r="C20" s="145"/>
      <c r="D20" s="146"/>
      <c r="E20" s="146"/>
      <c r="F20" s="146"/>
    </row>
    <row r="21" spans="1:7" x14ac:dyDescent="0.25">
      <c r="C21" s="147" t="s">
        <v>433</v>
      </c>
      <c r="D21" s="147" t="s">
        <v>1177</v>
      </c>
      <c r="E21" s="147" t="s">
        <v>498</v>
      </c>
      <c r="F21" s="147" t="s">
        <v>1182</v>
      </c>
      <c r="G21" s="147" t="s">
        <v>499</v>
      </c>
    </row>
    <row r="22" spans="1:7" x14ac:dyDescent="0.25">
      <c r="C22" s="1" t="s">
        <v>1175</v>
      </c>
      <c r="D22" s="1" t="s">
        <v>353</v>
      </c>
      <c r="E22" s="28" t="s">
        <v>501</v>
      </c>
      <c r="F22" s="28">
        <v>0</v>
      </c>
      <c r="G22" s="28">
        <v>1.5</v>
      </c>
    </row>
    <row r="23" spans="1:7" x14ac:dyDescent="0.25">
      <c r="C23" s="6" t="str">
        <f>C22</f>
        <v>&lt;2024</v>
      </c>
      <c r="D23" s="1" t="s">
        <v>353</v>
      </c>
      <c r="E23" s="1" t="s">
        <v>501</v>
      </c>
      <c r="F23" s="1" t="s">
        <v>353</v>
      </c>
      <c r="G23" s="1">
        <v>1</v>
      </c>
    </row>
    <row r="24" spans="1:7" x14ac:dyDescent="0.25">
      <c r="C24" s="6" t="str">
        <f t="shared" ref="C24:C30" si="0">C23</f>
        <v>&lt;2024</v>
      </c>
      <c r="D24" s="1" t="s">
        <v>353</v>
      </c>
      <c r="E24" s="1" t="s">
        <v>502</v>
      </c>
      <c r="F24" s="1" t="s">
        <v>353</v>
      </c>
      <c r="G24" s="1">
        <v>1.5</v>
      </c>
    </row>
    <row r="25" spans="1:7" x14ac:dyDescent="0.25">
      <c r="C25" s="6" t="str">
        <f t="shared" si="0"/>
        <v>&lt;2024</v>
      </c>
      <c r="D25" s="1" t="s">
        <v>353</v>
      </c>
      <c r="E25" s="1" t="s">
        <v>503</v>
      </c>
      <c r="F25" s="1" t="s">
        <v>353</v>
      </c>
      <c r="G25" s="1">
        <v>2</v>
      </c>
    </row>
    <row r="26" spans="1:7" x14ac:dyDescent="0.25">
      <c r="C26" s="6" t="str">
        <f t="shared" si="0"/>
        <v>&lt;2024</v>
      </c>
      <c r="D26" s="1" t="s">
        <v>353</v>
      </c>
      <c r="E26" s="1" t="s">
        <v>504</v>
      </c>
      <c r="F26" s="1" t="s">
        <v>353</v>
      </c>
      <c r="G26" s="1">
        <v>2.5</v>
      </c>
    </row>
    <row r="27" spans="1:7" x14ac:dyDescent="0.25">
      <c r="C27" s="6" t="str">
        <f t="shared" si="0"/>
        <v>&lt;2024</v>
      </c>
      <c r="D27" s="1" t="s">
        <v>353</v>
      </c>
      <c r="E27" s="1" t="s">
        <v>505</v>
      </c>
      <c r="F27" s="1" t="s">
        <v>353</v>
      </c>
      <c r="G27" s="1">
        <v>3</v>
      </c>
    </row>
    <row r="28" spans="1:7" x14ac:dyDescent="0.25">
      <c r="C28" s="6" t="str">
        <f t="shared" si="0"/>
        <v>&lt;2024</v>
      </c>
      <c r="D28" s="1" t="s">
        <v>353</v>
      </c>
      <c r="E28" s="1" t="s">
        <v>506</v>
      </c>
      <c r="F28" s="1" t="s">
        <v>353</v>
      </c>
      <c r="G28" s="1">
        <v>3.5</v>
      </c>
    </row>
    <row r="29" spans="1:7" x14ac:dyDescent="0.25">
      <c r="C29" s="6" t="str">
        <f t="shared" si="0"/>
        <v>&lt;2024</v>
      </c>
      <c r="D29" s="1" t="s">
        <v>353</v>
      </c>
      <c r="E29" s="1" t="s">
        <v>507</v>
      </c>
      <c r="F29" s="1" t="s">
        <v>353</v>
      </c>
      <c r="G29" s="1">
        <v>4</v>
      </c>
    </row>
    <row r="30" spans="1:7" x14ac:dyDescent="0.25">
      <c r="C30" s="36" t="str">
        <f t="shared" si="0"/>
        <v>&lt;2024</v>
      </c>
      <c r="D30" s="4" t="s">
        <v>353</v>
      </c>
      <c r="E30" s="4" t="s">
        <v>508</v>
      </c>
      <c r="F30" s="4" t="s">
        <v>353</v>
      </c>
      <c r="G30" s="4">
        <v>5</v>
      </c>
    </row>
    <row r="31" spans="1:7" x14ac:dyDescent="0.25">
      <c r="C31" s="1" t="s">
        <v>353</v>
      </c>
      <c r="D31" s="1" t="s">
        <v>353</v>
      </c>
      <c r="E31" s="28" t="s">
        <v>1178</v>
      </c>
      <c r="F31" s="28">
        <v>0</v>
      </c>
      <c r="G31" s="28">
        <v>1.5</v>
      </c>
    </row>
    <row r="32" spans="1:7" x14ac:dyDescent="0.25">
      <c r="C32" s="1" t="s">
        <v>353</v>
      </c>
      <c r="D32" s="1">
        <v>0</v>
      </c>
      <c r="E32" s="1" t="s">
        <v>1178</v>
      </c>
      <c r="F32" s="1">
        <v>1</v>
      </c>
      <c r="G32" s="1">
        <v>1</v>
      </c>
    </row>
    <row r="33" spans="3:7" x14ac:dyDescent="0.25">
      <c r="C33" s="1" t="s">
        <v>353</v>
      </c>
      <c r="D33" s="1">
        <v>0</v>
      </c>
      <c r="E33" s="1" t="s">
        <v>1178</v>
      </c>
      <c r="F33" s="1">
        <v>2</v>
      </c>
      <c r="G33" s="1">
        <v>0.75</v>
      </c>
    </row>
    <row r="34" spans="3:7" x14ac:dyDescent="0.25">
      <c r="C34" s="1" t="s">
        <v>353</v>
      </c>
      <c r="D34" s="1">
        <v>0</v>
      </c>
      <c r="E34" s="22" t="s">
        <v>1178</v>
      </c>
      <c r="F34" s="22">
        <v>3</v>
      </c>
      <c r="G34" s="22">
        <v>0.75</v>
      </c>
    </row>
    <row r="35" spans="3:7" x14ac:dyDescent="0.25">
      <c r="C35" s="1" t="s">
        <v>353</v>
      </c>
      <c r="D35" s="1">
        <v>0</v>
      </c>
      <c r="E35" s="1" t="s">
        <v>502</v>
      </c>
      <c r="F35" s="1">
        <v>1</v>
      </c>
      <c r="G35" s="1">
        <v>1.5</v>
      </c>
    </row>
    <row r="36" spans="3:7" x14ac:dyDescent="0.25">
      <c r="C36" s="1" t="s">
        <v>353</v>
      </c>
      <c r="D36" s="1">
        <v>0</v>
      </c>
      <c r="E36" s="1" t="s">
        <v>502</v>
      </c>
      <c r="F36" s="1">
        <v>2</v>
      </c>
      <c r="G36" s="1">
        <v>1</v>
      </c>
    </row>
    <row r="37" spans="3:7" x14ac:dyDescent="0.25">
      <c r="C37" s="1" t="s">
        <v>353</v>
      </c>
      <c r="D37" s="1">
        <v>0</v>
      </c>
      <c r="E37" s="22" t="s">
        <v>502</v>
      </c>
      <c r="F37" s="22">
        <v>3</v>
      </c>
      <c r="G37" s="22">
        <v>0.75</v>
      </c>
    </row>
    <row r="38" spans="3:7" x14ac:dyDescent="0.25">
      <c r="C38" s="1" t="s">
        <v>353</v>
      </c>
      <c r="D38" s="1">
        <v>0</v>
      </c>
      <c r="E38" s="1" t="s">
        <v>503</v>
      </c>
      <c r="F38" s="1">
        <v>1</v>
      </c>
      <c r="G38" s="1">
        <v>2</v>
      </c>
    </row>
    <row r="39" spans="3:7" x14ac:dyDescent="0.25">
      <c r="C39" s="1" t="s">
        <v>353</v>
      </c>
      <c r="D39" s="1">
        <v>0</v>
      </c>
      <c r="E39" s="1" t="s">
        <v>503</v>
      </c>
      <c r="F39" s="1">
        <v>2</v>
      </c>
      <c r="G39" s="1">
        <v>1.5</v>
      </c>
    </row>
    <row r="40" spans="3:7" x14ac:dyDescent="0.25">
      <c r="C40" s="1" t="s">
        <v>353</v>
      </c>
      <c r="D40" s="1">
        <v>0</v>
      </c>
      <c r="E40" s="22" t="s">
        <v>503</v>
      </c>
      <c r="F40" s="22">
        <v>3</v>
      </c>
      <c r="G40" s="22">
        <v>1.5</v>
      </c>
    </row>
    <row r="41" spans="3:7" x14ac:dyDescent="0.25">
      <c r="C41" s="1" t="s">
        <v>353</v>
      </c>
      <c r="D41" s="1">
        <v>0</v>
      </c>
      <c r="E41" s="1" t="s">
        <v>1179</v>
      </c>
      <c r="F41" s="1">
        <v>1</v>
      </c>
      <c r="G41" s="1">
        <v>2.5</v>
      </c>
    </row>
    <row r="42" spans="3:7" x14ac:dyDescent="0.25">
      <c r="C42" s="1" t="s">
        <v>353</v>
      </c>
      <c r="D42" s="1">
        <v>0</v>
      </c>
      <c r="E42" s="1" t="s">
        <v>1179</v>
      </c>
      <c r="F42" s="1">
        <v>2</v>
      </c>
      <c r="G42" s="1">
        <v>1.5</v>
      </c>
    </row>
    <row r="43" spans="3:7" x14ac:dyDescent="0.25">
      <c r="C43" s="1" t="s">
        <v>353</v>
      </c>
      <c r="D43" s="1">
        <v>0</v>
      </c>
      <c r="E43" s="22" t="s">
        <v>1179</v>
      </c>
      <c r="F43" s="22">
        <v>3</v>
      </c>
      <c r="G43" s="22">
        <v>1.5</v>
      </c>
    </row>
    <row r="44" spans="3:7" x14ac:dyDescent="0.25">
      <c r="C44" s="1" t="s">
        <v>353</v>
      </c>
      <c r="D44" s="1">
        <v>0</v>
      </c>
      <c r="E44" s="1" t="s">
        <v>505</v>
      </c>
      <c r="F44" s="1">
        <v>1</v>
      </c>
      <c r="G44" s="1">
        <v>3</v>
      </c>
    </row>
    <row r="45" spans="3:7" x14ac:dyDescent="0.25">
      <c r="C45" s="1" t="s">
        <v>353</v>
      </c>
      <c r="D45" s="1">
        <v>0</v>
      </c>
      <c r="E45" s="1" t="s">
        <v>505</v>
      </c>
      <c r="F45" s="1">
        <v>2</v>
      </c>
      <c r="G45" s="1">
        <v>1.5</v>
      </c>
    </row>
    <row r="46" spans="3:7" x14ac:dyDescent="0.25">
      <c r="C46" s="1" t="s">
        <v>353</v>
      </c>
      <c r="D46" s="1">
        <v>0</v>
      </c>
      <c r="E46" s="22" t="s">
        <v>505</v>
      </c>
      <c r="F46" s="22">
        <v>3</v>
      </c>
      <c r="G46" s="22">
        <v>1.5</v>
      </c>
    </row>
    <row r="47" spans="3:7" x14ac:dyDescent="0.25">
      <c r="C47" s="1" t="s">
        <v>353</v>
      </c>
      <c r="D47" s="1">
        <v>0</v>
      </c>
      <c r="E47" s="1" t="s">
        <v>506</v>
      </c>
      <c r="F47" s="1">
        <v>1</v>
      </c>
      <c r="G47" s="1">
        <v>3.5</v>
      </c>
    </row>
    <row r="48" spans="3:7" x14ac:dyDescent="0.25">
      <c r="C48" s="1" t="s">
        <v>353</v>
      </c>
      <c r="D48" s="1">
        <v>0</v>
      </c>
      <c r="E48" s="1" t="s">
        <v>506</v>
      </c>
      <c r="F48" s="1">
        <v>2</v>
      </c>
      <c r="G48" s="1">
        <v>2</v>
      </c>
    </row>
    <row r="49" spans="3:7" x14ac:dyDescent="0.25">
      <c r="C49" s="1" t="s">
        <v>353</v>
      </c>
      <c r="D49" s="1">
        <v>0</v>
      </c>
      <c r="E49" s="22" t="s">
        <v>506</v>
      </c>
      <c r="F49" s="22">
        <v>3</v>
      </c>
      <c r="G49" s="22">
        <v>1.5</v>
      </c>
    </row>
    <row r="50" spans="3:7" x14ac:dyDescent="0.25">
      <c r="C50" s="1" t="s">
        <v>353</v>
      </c>
      <c r="D50" s="1">
        <v>0</v>
      </c>
      <c r="E50" s="1" t="s">
        <v>507</v>
      </c>
      <c r="F50" s="1">
        <v>1</v>
      </c>
      <c r="G50" s="1">
        <v>4</v>
      </c>
    </row>
    <row r="51" spans="3:7" x14ac:dyDescent="0.25">
      <c r="C51" s="1" t="s">
        <v>353</v>
      </c>
      <c r="D51" s="1">
        <v>0</v>
      </c>
      <c r="E51" s="1" t="s">
        <v>507</v>
      </c>
      <c r="F51" s="1">
        <v>2</v>
      </c>
      <c r="G51" s="1">
        <v>2</v>
      </c>
    </row>
    <row r="52" spans="3:7" x14ac:dyDescent="0.25">
      <c r="C52" s="1" t="s">
        <v>353</v>
      </c>
      <c r="D52" s="1">
        <v>0</v>
      </c>
      <c r="E52" s="22" t="s">
        <v>507</v>
      </c>
      <c r="F52" s="22">
        <v>3</v>
      </c>
      <c r="G52" s="22">
        <v>1.5</v>
      </c>
    </row>
    <row r="53" spans="3:7" x14ac:dyDescent="0.25">
      <c r="C53" s="1" t="s">
        <v>353</v>
      </c>
      <c r="D53" s="1">
        <v>0</v>
      </c>
      <c r="E53" s="1" t="s">
        <v>508</v>
      </c>
      <c r="F53" s="1">
        <v>1</v>
      </c>
      <c r="G53" s="1">
        <v>5</v>
      </c>
    </row>
    <row r="54" spans="3:7" x14ac:dyDescent="0.25">
      <c r="C54" s="1" t="s">
        <v>353</v>
      </c>
      <c r="D54" s="1">
        <v>0</v>
      </c>
      <c r="E54" s="1" t="s">
        <v>508</v>
      </c>
      <c r="F54" s="1">
        <v>2</v>
      </c>
      <c r="G54" s="1">
        <v>2</v>
      </c>
    </row>
    <row r="55" spans="3:7" x14ac:dyDescent="0.25">
      <c r="C55" s="1" t="s">
        <v>353</v>
      </c>
      <c r="D55" s="1">
        <v>0</v>
      </c>
      <c r="E55" s="22" t="s">
        <v>508</v>
      </c>
      <c r="F55" s="22">
        <v>3</v>
      </c>
      <c r="G55" s="22">
        <v>1.5</v>
      </c>
    </row>
    <row r="56" spans="3:7" x14ac:dyDescent="0.25">
      <c r="C56" s="234" t="s">
        <v>353</v>
      </c>
      <c r="D56" s="234">
        <v>0</v>
      </c>
      <c r="E56" s="234" t="s">
        <v>353</v>
      </c>
      <c r="F56" s="234">
        <v>1</v>
      </c>
      <c r="G56" s="234">
        <v>6</v>
      </c>
    </row>
    <row r="57" spans="3:7" x14ac:dyDescent="0.25">
      <c r="C57" s="234" t="s">
        <v>353</v>
      </c>
      <c r="D57" s="234">
        <v>0</v>
      </c>
      <c r="E57" s="234" t="s">
        <v>353</v>
      </c>
      <c r="F57" s="234">
        <v>2</v>
      </c>
      <c r="G57" s="234">
        <v>2</v>
      </c>
    </row>
    <row r="58" spans="3:7" x14ac:dyDescent="0.25">
      <c r="C58" s="22" t="s">
        <v>353</v>
      </c>
      <c r="D58" s="22">
        <v>0</v>
      </c>
      <c r="E58" s="22" t="s">
        <v>353</v>
      </c>
      <c r="F58" s="22">
        <v>3</v>
      </c>
      <c r="G58" s="22">
        <v>1.5</v>
      </c>
    </row>
    <row r="59" spans="3:7" x14ac:dyDescent="0.25">
      <c r="C59" s="1" t="s">
        <v>353</v>
      </c>
      <c r="D59" s="1" t="s">
        <v>353</v>
      </c>
      <c r="E59" s="1" t="s">
        <v>1178</v>
      </c>
      <c r="F59" s="1">
        <v>1</v>
      </c>
      <c r="G59" s="1">
        <v>1</v>
      </c>
    </row>
    <row r="60" spans="3:7" x14ac:dyDescent="0.25">
      <c r="C60" s="1" t="s">
        <v>353</v>
      </c>
      <c r="D60" s="1" t="s">
        <v>353</v>
      </c>
      <c r="E60" s="1" t="s">
        <v>1178</v>
      </c>
      <c r="F60" s="1">
        <v>2</v>
      </c>
      <c r="G60" s="1">
        <v>0.75</v>
      </c>
    </row>
    <row r="61" spans="3:7" x14ac:dyDescent="0.25">
      <c r="C61" s="1" t="s">
        <v>353</v>
      </c>
      <c r="D61" s="1" t="s">
        <v>353</v>
      </c>
      <c r="E61" s="22" t="s">
        <v>1178</v>
      </c>
      <c r="F61" s="22">
        <v>3</v>
      </c>
      <c r="G61" s="22">
        <v>0.75</v>
      </c>
    </row>
    <row r="62" spans="3:7" x14ac:dyDescent="0.25">
      <c r="C62" s="1" t="s">
        <v>353</v>
      </c>
      <c r="D62" s="1" t="s">
        <v>353</v>
      </c>
      <c r="E62" s="1" t="s">
        <v>502</v>
      </c>
      <c r="F62" s="1">
        <v>1</v>
      </c>
      <c r="G62" s="1">
        <v>1.5</v>
      </c>
    </row>
    <row r="63" spans="3:7" x14ac:dyDescent="0.25">
      <c r="C63" s="1" t="s">
        <v>353</v>
      </c>
      <c r="D63" s="1" t="s">
        <v>353</v>
      </c>
      <c r="E63" s="1" t="s">
        <v>502</v>
      </c>
      <c r="F63" s="1">
        <v>2</v>
      </c>
      <c r="G63" s="1">
        <v>1</v>
      </c>
    </row>
    <row r="64" spans="3:7" x14ac:dyDescent="0.25">
      <c r="C64" s="1" t="s">
        <v>353</v>
      </c>
      <c r="D64" s="1" t="s">
        <v>353</v>
      </c>
      <c r="E64" s="22" t="s">
        <v>502</v>
      </c>
      <c r="F64" s="22">
        <v>3</v>
      </c>
      <c r="G64" s="22">
        <v>0.75</v>
      </c>
    </row>
    <row r="65" spans="3:7" x14ac:dyDescent="0.25">
      <c r="C65" s="1" t="s">
        <v>353</v>
      </c>
      <c r="D65" s="1" t="s">
        <v>353</v>
      </c>
      <c r="E65" s="1" t="s">
        <v>503</v>
      </c>
      <c r="F65" s="1">
        <v>1</v>
      </c>
      <c r="G65" s="1">
        <v>1.5</v>
      </c>
    </row>
    <row r="66" spans="3:7" x14ac:dyDescent="0.25">
      <c r="C66" s="1" t="s">
        <v>353</v>
      </c>
      <c r="D66" s="1" t="s">
        <v>353</v>
      </c>
      <c r="E66" s="1" t="s">
        <v>503</v>
      </c>
      <c r="F66" s="1">
        <v>2</v>
      </c>
      <c r="G66" s="1">
        <v>1.5</v>
      </c>
    </row>
    <row r="67" spans="3:7" x14ac:dyDescent="0.25">
      <c r="C67" s="1" t="s">
        <v>353</v>
      </c>
      <c r="D67" s="1" t="s">
        <v>353</v>
      </c>
      <c r="E67" s="22" t="s">
        <v>503</v>
      </c>
      <c r="F67" s="22">
        <v>3</v>
      </c>
      <c r="G67" s="22">
        <v>1</v>
      </c>
    </row>
    <row r="68" spans="3:7" x14ac:dyDescent="0.25">
      <c r="C68" s="1" t="s">
        <v>353</v>
      </c>
      <c r="D68" s="1" t="s">
        <v>353</v>
      </c>
      <c r="E68" s="1" t="s">
        <v>1179</v>
      </c>
      <c r="F68" s="1">
        <v>1</v>
      </c>
      <c r="G68" s="1">
        <v>1.5</v>
      </c>
    </row>
    <row r="69" spans="3:7" x14ac:dyDescent="0.25">
      <c r="C69" s="1" t="s">
        <v>353</v>
      </c>
      <c r="D69" s="1" t="s">
        <v>353</v>
      </c>
      <c r="E69" s="1" t="s">
        <v>1179</v>
      </c>
      <c r="F69" s="1">
        <v>2</v>
      </c>
      <c r="G69" s="1">
        <v>1.5</v>
      </c>
    </row>
    <row r="70" spans="3:7" x14ac:dyDescent="0.25">
      <c r="C70" s="1" t="s">
        <v>353</v>
      </c>
      <c r="D70" s="1" t="s">
        <v>353</v>
      </c>
      <c r="E70" s="22" t="s">
        <v>1179</v>
      </c>
      <c r="F70" s="22">
        <v>3</v>
      </c>
      <c r="G70" s="22">
        <v>1</v>
      </c>
    </row>
    <row r="71" spans="3:7" x14ac:dyDescent="0.25">
      <c r="C71" s="1" t="s">
        <v>353</v>
      </c>
      <c r="D71" s="1" t="s">
        <v>353</v>
      </c>
      <c r="E71" s="1" t="s">
        <v>505</v>
      </c>
      <c r="F71" s="1">
        <v>1</v>
      </c>
      <c r="G71" s="1">
        <v>2</v>
      </c>
    </row>
    <row r="72" spans="3:7" x14ac:dyDescent="0.25">
      <c r="C72" s="1" t="s">
        <v>353</v>
      </c>
      <c r="D72" s="1" t="s">
        <v>353</v>
      </c>
      <c r="E72" s="1" t="s">
        <v>505</v>
      </c>
      <c r="F72" s="1">
        <v>2</v>
      </c>
      <c r="G72" s="1">
        <v>1.5</v>
      </c>
    </row>
    <row r="73" spans="3:7" x14ac:dyDescent="0.25">
      <c r="C73" s="1" t="s">
        <v>353</v>
      </c>
      <c r="D73" s="1" t="s">
        <v>353</v>
      </c>
      <c r="E73" s="22" t="s">
        <v>505</v>
      </c>
      <c r="F73" s="22">
        <v>3</v>
      </c>
      <c r="G73" s="22">
        <v>1</v>
      </c>
    </row>
    <row r="74" spans="3:7" x14ac:dyDescent="0.25">
      <c r="C74" s="1" t="s">
        <v>353</v>
      </c>
      <c r="D74" s="1" t="s">
        <v>353</v>
      </c>
      <c r="E74" s="1" t="s">
        <v>506</v>
      </c>
      <c r="F74" s="1">
        <v>1</v>
      </c>
      <c r="G74" s="1">
        <v>3</v>
      </c>
    </row>
    <row r="75" spans="3:7" x14ac:dyDescent="0.25">
      <c r="C75" s="1" t="s">
        <v>353</v>
      </c>
      <c r="D75" s="1" t="s">
        <v>353</v>
      </c>
      <c r="E75" s="1" t="s">
        <v>506</v>
      </c>
      <c r="F75" s="1">
        <v>2</v>
      </c>
      <c r="G75" s="1">
        <v>1.5</v>
      </c>
    </row>
    <row r="76" spans="3:7" x14ac:dyDescent="0.25">
      <c r="C76" s="1" t="s">
        <v>353</v>
      </c>
      <c r="D76" s="1" t="s">
        <v>353</v>
      </c>
      <c r="E76" s="22" t="s">
        <v>506</v>
      </c>
      <c r="F76" s="22">
        <v>3</v>
      </c>
      <c r="G76" s="22">
        <v>1</v>
      </c>
    </row>
    <row r="77" spans="3:7" x14ac:dyDescent="0.25">
      <c r="C77" s="1" t="s">
        <v>353</v>
      </c>
      <c r="D77" s="1" t="s">
        <v>353</v>
      </c>
      <c r="E77" s="1" t="s">
        <v>507</v>
      </c>
      <c r="F77" s="1">
        <v>1</v>
      </c>
      <c r="G77" s="1">
        <v>3</v>
      </c>
    </row>
    <row r="78" spans="3:7" x14ac:dyDescent="0.25">
      <c r="C78" s="1" t="s">
        <v>353</v>
      </c>
      <c r="D78" s="1" t="s">
        <v>353</v>
      </c>
      <c r="E78" s="1" t="s">
        <v>507</v>
      </c>
      <c r="F78" s="1">
        <v>2</v>
      </c>
      <c r="G78" s="1">
        <v>1.5</v>
      </c>
    </row>
    <row r="79" spans="3:7" x14ac:dyDescent="0.25">
      <c r="C79" s="1" t="s">
        <v>353</v>
      </c>
      <c r="D79" s="1" t="s">
        <v>353</v>
      </c>
      <c r="E79" s="22" t="s">
        <v>507</v>
      </c>
      <c r="F79" s="22">
        <v>3</v>
      </c>
      <c r="G79" s="22">
        <v>1</v>
      </c>
    </row>
    <row r="80" spans="3:7" x14ac:dyDescent="0.25">
      <c r="C80" s="1" t="s">
        <v>353</v>
      </c>
      <c r="D80" s="1" t="s">
        <v>353</v>
      </c>
      <c r="E80" s="1" t="s">
        <v>508</v>
      </c>
      <c r="F80" s="1">
        <v>1</v>
      </c>
      <c r="G80" s="1">
        <v>3</v>
      </c>
    </row>
    <row r="81" spans="1:7" x14ac:dyDescent="0.25">
      <c r="C81" s="1" t="s">
        <v>353</v>
      </c>
      <c r="D81" s="1" t="s">
        <v>353</v>
      </c>
      <c r="E81" s="1" t="s">
        <v>508</v>
      </c>
      <c r="F81" s="1">
        <v>2</v>
      </c>
      <c r="G81" s="1">
        <v>1.5</v>
      </c>
    </row>
    <row r="82" spans="1:7" x14ac:dyDescent="0.25">
      <c r="C82" s="1" t="s">
        <v>353</v>
      </c>
      <c r="D82" s="1" t="s">
        <v>353</v>
      </c>
      <c r="E82" s="22" t="s">
        <v>508</v>
      </c>
      <c r="F82" s="22">
        <v>3</v>
      </c>
      <c r="G82" s="22">
        <v>1</v>
      </c>
    </row>
    <row r="83" spans="1:7" x14ac:dyDescent="0.25">
      <c r="C83" s="234" t="s">
        <v>353</v>
      </c>
      <c r="D83" s="234" t="s">
        <v>353</v>
      </c>
      <c r="E83" s="234" t="s">
        <v>353</v>
      </c>
      <c r="F83" s="234">
        <v>1</v>
      </c>
      <c r="G83" s="234">
        <v>3</v>
      </c>
    </row>
    <row r="84" spans="1:7" x14ac:dyDescent="0.25">
      <c r="C84" s="234" t="s">
        <v>353</v>
      </c>
      <c r="D84" s="234" t="s">
        <v>353</v>
      </c>
      <c r="E84" s="234" t="s">
        <v>353</v>
      </c>
      <c r="F84" s="234">
        <v>2</v>
      </c>
      <c r="G84" s="234">
        <v>1.5</v>
      </c>
    </row>
    <row r="85" spans="1:7" x14ac:dyDescent="0.25">
      <c r="C85" s="4" t="s">
        <v>353</v>
      </c>
      <c r="D85" s="4" t="s">
        <v>353</v>
      </c>
      <c r="E85" s="4" t="s">
        <v>353</v>
      </c>
      <c r="F85" s="4">
        <v>3</v>
      </c>
      <c r="G85" s="4">
        <v>1</v>
      </c>
    </row>
    <row r="86" spans="1:7" x14ac:dyDescent="0.25">
      <c r="C86" s="1" t="s">
        <v>353</v>
      </c>
      <c r="D86" s="1" t="s">
        <v>353</v>
      </c>
      <c r="E86" s="1" t="s">
        <v>353</v>
      </c>
      <c r="F86" s="1" t="s">
        <v>353</v>
      </c>
      <c r="G86" s="1">
        <v>6</v>
      </c>
    </row>
    <row r="87" spans="1:7" x14ac:dyDescent="0.25">
      <c r="B87" t="s">
        <v>50</v>
      </c>
    </row>
    <row r="88" spans="1:7" x14ac:dyDescent="0.25">
      <c r="A88" t="s">
        <v>0</v>
      </c>
    </row>
    <row r="89" spans="1:7" x14ac:dyDescent="0.25">
      <c r="A89" t="s">
        <v>0</v>
      </c>
    </row>
    <row r="90" spans="1:7" x14ac:dyDescent="0.25">
      <c r="A90" t="s">
        <v>0</v>
      </c>
      <c r="B90" t="s">
        <v>1159</v>
      </c>
    </row>
    <row r="91" spans="1:7" x14ac:dyDescent="0.25">
      <c r="B91" s="145" t="s">
        <v>1160</v>
      </c>
      <c r="C91" s="145"/>
      <c r="D91" s="146"/>
      <c r="E91" s="146"/>
      <c r="F91" s="146"/>
    </row>
    <row r="92" spans="1:7" x14ac:dyDescent="0.25">
      <c r="C92" s="147" t="s">
        <v>433</v>
      </c>
      <c r="D92" s="229" t="s">
        <v>1161</v>
      </c>
      <c r="E92" s="147" t="s">
        <v>1162</v>
      </c>
      <c r="F92" s="229" t="s">
        <v>1166</v>
      </c>
      <c r="G92" s="148" t="s">
        <v>1168</v>
      </c>
    </row>
    <row r="93" spans="1:7" x14ac:dyDescent="0.25">
      <c r="C93" s="1" t="s">
        <v>353</v>
      </c>
      <c r="D93" s="230" t="s">
        <v>1164</v>
      </c>
      <c r="E93" s="1" t="s">
        <v>1163</v>
      </c>
      <c r="F93" s="230" t="s">
        <v>1165</v>
      </c>
      <c r="G93" s="1">
        <v>1</v>
      </c>
    </row>
    <row r="94" spans="1:7" x14ac:dyDescent="0.25">
      <c r="C94" s="1" t="s">
        <v>353</v>
      </c>
      <c r="D94" s="232" t="str">
        <f>D93</f>
        <v>MPassInteg</v>
      </c>
      <c r="E94" s="6" t="s">
        <v>1163</v>
      </c>
      <c r="F94" s="230" t="s">
        <v>1167</v>
      </c>
      <c r="G94" s="1">
        <v>1</v>
      </c>
    </row>
    <row r="95" spans="1:7" x14ac:dyDescent="0.25">
      <c r="C95" s="1" t="s">
        <v>353</v>
      </c>
      <c r="D95" s="232" t="str">
        <f t="shared" ref="D95:D98" si="1">D94</f>
        <v>MPassInteg</v>
      </c>
      <c r="E95" s="6" t="s">
        <v>1163</v>
      </c>
      <c r="F95" s="230" t="s">
        <v>353</v>
      </c>
      <c r="G95" s="1">
        <v>1.1499999999999999</v>
      </c>
    </row>
    <row r="96" spans="1:7" x14ac:dyDescent="0.25">
      <c r="C96" s="1" t="s">
        <v>353</v>
      </c>
      <c r="D96" s="232" t="str">
        <f t="shared" si="1"/>
        <v>MPassInteg</v>
      </c>
      <c r="E96" s="1" t="s">
        <v>1169</v>
      </c>
      <c r="F96" s="230" t="s">
        <v>1165</v>
      </c>
      <c r="G96" s="1">
        <v>1</v>
      </c>
    </row>
    <row r="97" spans="3:7" x14ac:dyDescent="0.25">
      <c r="C97" s="1" t="s">
        <v>353</v>
      </c>
      <c r="D97" s="232" t="str">
        <f t="shared" si="1"/>
        <v>MPassInteg</v>
      </c>
      <c r="E97" s="6" t="s">
        <v>1169</v>
      </c>
      <c r="F97" s="230" t="s">
        <v>1167</v>
      </c>
      <c r="G97" s="1">
        <v>1</v>
      </c>
    </row>
    <row r="98" spans="3:7" x14ac:dyDescent="0.25">
      <c r="C98" s="22" t="s">
        <v>353</v>
      </c>
      <c r="D98" s="233" t="str">
        <f t="shared" si="1"/>
        <v>MPassInteg</v>
      </c>
      <c r="E98" s="113" t="s">
        <v>1169</v>
      </c>
      <c r="F98" s="231" t="s">
        <v>353</v>
      </c>
      <c r="G98" s="22">
        <v>1.1200000000000001</v>
      </c>
    </row>
    <row r="99" spans="3:7" x14ac:dyDescent="0.25">
      <c r="C99" s="1" t="s">
        <v>353</v>
      </c>
      <c r="D99" s="230" t="s">
        <v>1170</v>
      </c>
      <c r="E99" s="1" t="s">
        <v>1163</v>
      </c>
      <c r="F99" s="230" t="s">
        <v>1165</v>
      </c>
      <c r="G99" s="1">
        <v>0.96</v>
      </c>
    </row>
    <row r="100" spans="3:7" x14ac:dyDescent="0.25">
      <c r="C100" s="1" t="s">
        <v>353</v>
      </c>
      <c r="D100" s="232" t="str">
        <f>D99</f>
        <v>SPassPrim-PrimTank</v>
      </c>
      <c r="E100" s="6" t="s">
        <v>1163</v>
      </c>
      <c r="F100" s="230" t="s">
        <v>1167</v>
      </c>
      <c r="G100" s="1">
        <v>1</v>
      </c>
    </row>
    <row r="101" spans="3:7" x14ac:dyDescent="0.25">
      <c r="C101" s="1" t="s">
        <v>353</v>
      </c>
      <c r="D101" s="232" t="str">
        <f t="shared" ref="D101:D104" si="2">D100</f>
        <v>SPassPrim-PrimTank</v>
      </c>
      <c r="E101" s="6" t="s">
        <v>1163</v>
      </c>
      <c r="F101" s="230" t="s">
        <v>353</v>
      </c>
      <c r="G101" s="1">
        <v>1.1399999999999999</v>
      </c>
    </row>
    <row r="102" spans="3:7" x14ac:dyDescent="0.25">
      <c r="C102" s="1" t="s">
        <v>353</v>
      </c>
      <c r="D102" s="232" t="str">
        <f t="shared" si="2"/>
        <v>SPassPrim-PrimTank</v>
      </c>
      <c r="E102" s="1" t="s">
        <v>1169</v>
      </c>
      <c r="F102" s="230" t="s">
        <v>1165</v>
      </c>
      <c r="G102" s="1">
        <v>1</v>
      </c>
    </row>
    <row r="103" spans="3:7" x14ac:dyDescent="0.25">
      <c r="C103" s="1" t="s">
        <v>353</v>
      </c>
      <c r="D103" s="232" t="str">
        <f t="shared" si="2"/>
        <v>SPassPrim-PrimTank</v>
      </c>
      <c r="E103" s="6" t="s">
        <v>1169</v>
      </c>
      <c r="F103" s="230" t="s">
        <v>1167</v>
      </c>
      <c r="G103" s="1">
        <v>1</v>
      </c>
    </row>
    <row r="104" spans="3:7" x14ac:dyDescent="0.25">
      <c r="C104" s="22" t="s">
        <v>353</v>
      </c>
      <c r="D104" s="233" t="str">
        <f t="shared" si="2"/>
        <v>SPassPrim-PrimTank</v>
      </c>
      <c r="E104" s="113" t="s">
        <v>1169</v>
      </c>
      <c r="F104" s="231" t="s">
        <v>353</v>
      </c>
      <c r="G104" s="22">
        <v>1.0900000000000001</v>
      </c>
    </row>
    <row r="105" spans="3:7" x14ac:dyDescent="0.25">
      <c r="C105" s="1" t="s">
        <v>353</v>
      </c>
      <c r="D105" s="230" t="s">
        <v>1171</v>
      </c>
      <c r="E105" s="1" t="s">
        <v>1163</v>
      </c>
      <c r="F105" s="230" t="s">
        <v>1165</v>
      </c>
      <c r="G105" s="1">
        <v>0.96</v>
      </c>
    </row>
    <row r="106" spans="3:7" x14ac:dyDescent="0.25">
      <c r="C106" s="1" t="s">
        <v>353</v>
      </c>
      <c r="D106" s="232" t="str">
        <f>D105</f>
        <v>MPassPrim-PrimTank</v>
      </c>
      <c r="E106" s="6" t="s">
        <v>1163</v>
      </c>
      <c r="F106" s="230" t="s">
        <v>1167</v>
      </c>
      <c r="G106" s="1">
        <v>1</v>
      </c>
    </row>
    <row r="107" spans="3:7" x14ac:dyDescent="0.25">
      <c r="C107" s="1" t="s">
        <v>353</v>
      </c>
      <c r="D107" s="232" t="str">
        <f t="shared" ref="D107:D110" si="3">D106</f>
        <v>MPassPrim-PrimTank</v>
      </c>
      <c r="E107" s="6" t="s">
        <v>1163</v>
      </c>
      <c r="F107" s="230" t="s">
        <v>353</v>
      </c>
      <c r="G107" s="1">
        <v>1.1499999999999999</v>
      </c>
    </row>
    <row r="108" spans="3:7" x14ac:dyDescent="0.25">
      <c r="C108" s="1" t="s">
        <v>353</v>
      </c>
      <c r="D108" s="232" t="str">
        <f t="shared" si="3"/>
        <v>MPassPrim-PrimTank</v>
      </c>
      <c r="E108" s="1" t="s">
        <v>1169</v>
      </c>
      <c r="F108" s="230" t="s">
        <v>1165</v>
      </c>
      <c r="G108" s="1">
        <v>0.98</v>
      </c>
    </row>
    <row r="109" spans="3:7" x14ac:dyDescent="0.25">
      <c r="C109" s="1" t="s">
        <v>353</v>
      </c>
      <c r="D109" s="232" t="str">
        <f t="shared" si="3"/>
        <v>MPassPrim-PrimTank</v>
      </c>
      <c r="E109" s="6" t="s">
        <v>1169</v>
      </c>
      <c r="F109" s="230" t="s">
        <v>1167</v>
      </c>
      <c r="G109" s="1">
        <v>1</v>
      </c>
    </row>
    <row r="110" spans="3:7" x14ac:dyDescent="0.25">
      <c r="C110" s="22" t="s">
        <v>353</v>
      </c>
      <c r="D110" s="233" t="str">
        <f t="shared" si="3"/>
        <v>MPassPrim-PrimTank</v>
      </c>
      <c r="E110" s="113" t="s">
        <v>1169</v>
      </c>
      <c r="F110" s="231" t="s">
        <v>353</v>
      </c>
      <c r="G110" s="22">
        <v>1.1200000000000001</v>
      </c>
    </row>
    <row r="111" spans="3:7" x14ac:dyDescent="0.25">
      <c r="C111" s="1" t="s">
        <v>353</v>
      </c>
      <c r="D111" s="230" t="s">
        <v>1172</v>
      </c>
      <c r="E111" s="1" t="s">
        <v>1163</v>
      </c>
      <c r="F111" s="230" t="s">
        <v>1165</v>
      </c>
      <c r="G111" s="1">
        <v>0.96</v>
      </c>
    </row>
    <row r="112" spans="3:7" x14ac:dyDescent="0.25">
      <c r="C112" s="1" t="s">
        <v>353</v>
      </c>
      <c r="D112" s="232" t="str">
        <f>D111</f>
        <v>SPassPrim-SResist</v>
      </c>
      <c r="E112" s="6" t="s">
        <v>1163</v>
      </c>
      <c r="F112" s="230" t="s">
        <v>1167</v>
      </c>
      <c r="G112" s="1">
        <v>1</v>
      </c>
    </row>
    <row r="113" spans="1:7" x14ac:dyDescent="0.25">
      <c r="C113" s="1" t="s">
        <v>353</v>
      </c>
      <c r="D113" s="232" t="str">
        <f t="shared" ref="D113:D116" si="4">D112</f>
        <v>SPassPrim-SResist</v>
      </c>
      <c r="E113" s="6" t="s">
        <v>1163</v>
      </c>
      <c r="F113" s="230" t="s">
        <v>353</v>
      </c>
      <c r="G113" s="1">
        <v>1.08</v>
      </c>
    </row>
    <row r="114" spans="1:7" x14ac:dyDescent="0.25">
      <c r="C114" s="1" t="s">
        <v>353</v>
      </c>
      <c r="D114" s="232" t="str">
        <f t="shared" si="4"/>
        <v>SPassPrim-SResist</v>
      </c>
      <c r="E114" s="1" t="s">
        <v>1169</v>
      </c>
      <c r="F114" s="230" t="s">
        <v>1165</v>
      </c>
      <c r="G114" s="1">
        <v>0.99</v>
      </c>
    </row>
    <row r="115" spans="1:7" x14ac:dyDescent="0.25">
      <c r="C115" s="1" t="s">
        <v>353</v>
      </c>
      <c r="D115" s="232" t="str">
        <f t="shared" si="4"/>
        <v>SPassPrim-SResist</v>
      </c>
      <c r="E115" s="6" t="s">
        <v>1169</v>
      </c>
      <c r="F115" s="230" t="s">
        <v>1167</v>
      </c>
      <c r="G115" s="1">
        <v>1</v>
      </c>
    </row>
    <row r="116" spans="1:7" x14ac:dyDescent="0.25">
      <c r="C116" s="22" t="s">
        <v>353</v>
      </c>
      <c r="D116" s="233" t="str">
        <f t="shared" si="4"/>
        <v>SPassPrim-SResist</v>
      </c>
      <c r="E116" s="113" t="s">
        <v>1169</v>
      </c>
      <c r="F116" s="231" t="s">
        <v>353</v>
      </c>
      <c r="G116" s="22">
        <v>1.05</v>
      </c>
    </row>
    <row r="117" spans="1:7" x14ac:dyDescent="0.25">
      <c r="C117" s="1" t="s">
        <v>353</v>
      </c>
      <c r="D117" s="230" t="s">
        <v>1173</v>
      </c>
      <c r="E117" s="1" t="s">
        <v>1163</v>
      </c>
      <c r="F117" s="230" t="s">
        <v>1165</v>
      </c>
      <c r="G117" s="1">
        <v>0.96</v>
      </c>
    </row>
    <row r="118" spans="1:7" x14ac:dyDescent="0.25">
      <c r="C118" s="1" t="s">
        <v>353</v>
      </c>
      <c r="D118" s="232" t="str">
        <f>D117</f>
        <v>SPassPrim-Parallel</v>
      </c>
      <c r="E118" s="6" t="s">
        <v>1163</v>
      </c>
      <c r="F118" s="230" t="s">
        <v>1167</v>
      </c>
      <c r="G118" s="1">
        <v>1</v>
      </c>
    </row>
    <row r="119" spans="1:7" x14ac:dyDescent="0.25">
      <c r="C119" s="1" t="s">
        <v>353</v>
      </c>
      <c r="D119" s="232" t="str">
        <f t="shared" ref="D119:D122" si="5">D118</f>
        <v>SPassPrim-Parallel</v>
      </c>
      <c r="E119" s="6" t="s">
        <v>1163</v>
      </c>
      <c r="F119" s="230" t="s">
        <v>353</v>
      </c>
      <c r="G119" s="1">
        <v>1.1000000000000001</v>
      </c>
    </row>
    <row r="120" spans="1:7" x14ac:dyDescent="0.25">
      <c r="C120" s="1" t="s">
        <v>353</v>
      </c>
      <c r="D120" s="232" t="str">
        <f t="shared" si="5"/>
        <v>SPassPrim-Parallel</v>
      </c>
      <c r="E120" s="1" t="s">
        <v>1169</v>
      </c>
      <c r="F120" s="230" t="s">
        <v>1165</v>
      </c>
      <c r="G120" s="1">
        <v>0.96</v>
      </c>
    </row>
    <row r="121" spans="1:7" x14ac:dyDescent="0.25">
      <c r="C121" s="1" t="s">
        <v>353</v>
      </c>
      <c r="D121" s="232" t="str">
        <f t="shared" si="5"/>
        <v>SPassPrim-Parallel</v>
      </c>
      <c r="E121" s="6" t="s">
        <v>1169</v>
      </c>
      <c r="F121" s="230" t="s">
        <v>1167</v>
      </c>
      <c r="G121" s="1">
        <v>1</v>
      </c>
    </row>
    <row r="122" spans="1:7" x14ac:dyDescent="0.25">
      <c r="C122" s="22" t="s">
        <v>353</v>
      </c>
      <c r="D122" s="233" t="str">
        <f t="shared" si="5"/>
        <v>SPassPrim-Parallel</v>
      </c>
      <c r="E122" s="113" t="s">
        <v>1169</v>
      </c>
      <c r="F122" s="231" t="s">
        <v>353</v>
      </c>
      <c r="G122" s="22">
        <v>1.1000000000000001</v>
      </c>
    </row>
    <row r="123" spans="1:7" x14ac:dyDescent="0.25">
      <c r="C123" s="1" t="s">
        <v>353</v>
      </c>
      <c r="D123" s="1" t="s">
        <v>353</v>
      </c>
      <c r="E123" s="1" t="s">
        <v>353</v>
      </c>
      <c r="F123" s="230" t="s">
        <v>353</v>
      </c>
      <c r="G123" s="1">
        <v>1</v>
      </c>
    </row>
    <row r="124" spans="1:7" x14ac:dyDescent="0.25">
      <c r="B124" t="s">
        <v>50</v>
      </c>
    </row>
    <row r="125" spans="1:7" x14ac:dyDescent="0.25">
      <c r="A125" t="s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6"/>
  <sheetViews>
    <sheetView topLeftCell="A22" workbookViewId="0">
      <selection activeCell="R35" sqref="R35"/>
    </sheetView>
  </sheetViews>
  <sheetFormatPr defaultRowHeight="15" x14ac:dyDescent="0.25"/>
  <cols>
    <col min="1" max="1" width="12.140625" customWidth="1"/>
    <col min="2" max="11" width="10.28515625" customWidth="1"/>
    <col min="12" max="12" width="3.42578125" customWidth="1"/>
  </cols>
  <sheetData>
    <row r="1" spans="1:10" x14ac:dyDescent="0.25">
      <c r="A1" t="s">
        <v>0</v>
      </c>
      <c r="B1" t="s">
        <v>1</v>
      </c>
    </row>
    <row r="2" spans="1:10" x14ac:dyDescent="0.25">
      <c r="A2" t="s">
        <v>0</v>
      </c>
      <c r="B2" t="s">
        <v>55</v>
      </c>
    </row>
    <row r="3" spans="1:10" x14ac:dyDescent="0.25">
      <c r="A3" t="s">
        <v>0</v>
      </c>
      <c r="B3" t="s">
        <v>3</v>
      </c>
      <c r="D3" t="s">
        <v>56</v>
      </c>
    </row>
    <row r="4" spans="1:10" x14ac:dyDescent="0.25">
      <c r="A4" t="s">
        <v>0</v>
      </c>
    </row>
    <row r="5" spans="1:10" x14ac:dyDescent="0.25">
      <c r="A5" t="s">
        <v>0</v>
      </c>
      <c r="B5" t="s">
        <v>24</v>
      </c>
      <c r="D5" t="s">
        <v>57</v>
      </c>
    </row>
    <row r="6" spans="1:10" x14ac:dyDescent="0.25">
      <c r="A6" t="s">
        <v>0</v>
      </c>
    </row>
    <row r="7" spans="1:10" x14ac:dyDescent="0.25">
      <c r="A7" t="s">
        <v>0</v>
      </c>
      <c r="B7" t="s">
        <v>4</v>
      </c>
      <c r="D7" t="s">
        <v>58</v>
      </c>
    </row>
    <row r="8" spans="1:10" x14ac:dyDescent="0.25">
      <c r="A8" t="s">
        <v>0</v>
      </c>
      <c r="D8" t="s">
        <v>439</v>
      </c>
    </row>
    <row r="9" spans="1:10" x14ac:dyDescent="0.25">
      <c r="A9" t="s">
        <v>0</v>
      </c>
    </row>
    <row r="10" spans="1:10" x14ac:dyDescent="0.25">
      <c r="A10" t="s">
        <v>0</v>
      </c>
      <c r="B10" t="s">
        <v>6</v>
      </c>
    </row>
    <row r="11" spans="1:10" x14ac:dyDescent="0.25">
      <c r="A11" t="s">
        <v>0</v>
      </c>
      <c r="C11" s="1">
        <v>1</v>
      </c>
      <c r="D11" t="s">
        <v>59</v>
      </c>
    </row>
    <row r="12" spans="1:10" x14ac:dyDescent="0.25">
      <c r="A12" t="s">
        <v>0</v>
      </c>
      <c r="C12" s="1"/>
    </row>
    <row r="13" spans="1:10" x14ac:dyDescent="0.25">
      <c r="A13" t="s">
        <v>0</v>
      </c>
      <c r="B13" t="s">
        <v>7</v>
      </c>
      <c r="C13" s="1"/>
      <c r="I13" s="37" t="s">
        <v>64</v>
      </c>
      <c r="J13" s="38"/>
    </row>
    <row r="14" spans="1:10" x14ac:dyDescent="0.25">
      <c r="A14" t="s">
        <v>0</v>
      </c>
      <c r="C14" s="1">
        <v>1</v>
      </c>
      <c r="D14" t="s">
        <v>60</v>
      </c>
      <c r="I14" s="24" t="s">
        <v>65</v>
      </c>
    </row>
    <row r="15" spans="1:10" x14ac:dyDescent="0.25">
      <c r="A15" t="s">
        <v>0</v>
      </c>
      <c r="C15" s="1">
        <f>C14+1</f>
        <v>2</v>
      </c>
      <c r="D15" t="s">
        <v>60</v>
      </c>
      <c r="I15" s="24" t="s">
        <v>66</v>
      </c>
    </row>
    <row r="16" spans="1:10" x14ac:dyDescent="0.25">
      <c r="A16" t="s">
        <v>0</v>
      </c>
      <c r="C16" s="1">
        <f t="shared" ref="C16:C23" si="0">C15+1</f>
        <v>3</v>
      </c>
      <c r="D16" t="s">
        <v>60</v>
      </c>
      <c r="I16" s="24" t="s">
        <v>67</v>
      </c>
    </row>
    <row r="17" spans="1:13" x14ac:dyDescent="0.25">
      <c r="A17" t="s">
        <v>0</v>
      </c>
      <c r="C17" s="1">
        <f t="shared" si="0"/>
        <v>4</v>
      </c>
      <c r="D17" t="s">
        <v>61</v>
      </c>
      <c r="I17" s="24" t="s">
        <v>65</v>
      </c>
    </row>
    <row r="18" spans="1:13" x14ac:dyDescent="0.25">
      <c r="A18" t="s">
        <v>0</v>
      </c>
      <c r="C18" s="1">
        <f t="shared" si="0"/>
        <v>5</v>
      </c>
      <c r="D18" t="s">
        <v>61</v>
      </c>
      <c r="I18" s="24" t="s">
        <v>66</v>
      </c>
    </row>
    <row r="19" spans="1:13" x14ac:dyDescent="0.25">
      <c r="A19" t="s">
        <v>0</v>
      </c>
      <c r="C19" s="1">
        <f t="shared" si="0"/>
        <v>6</v>
      </c>
      <c r="D19" t="s">
        <v>62</v>
      </c>
      <c r="I19" s="24" t="s">
        <v>65</v>
      </c>
    </row>
    <row r="20" spans="1:13" x14ac:dyDescent="0.25">
      <c r="A20" t="s">
        <v>0</v>
      </c>
      <c r="C20" s="1">
        <f t="shared" si="0"/>
        <v>7</v>
      </c>
      <c r="D20" t="s">
        <v>62</v>
      </c>
      <c r="I20" s="24" t="s">
        <v>66</v>
      </c>
    </row>
    <row r="21" spans="1:13" x14ac:dyDescent="0.25">
      <c r="A21" t="s">
        <v>0</v>
      </c>
      <c r="C21" s="1">
        <f t="shared" si="0"/>
        <v>8</v>
      </c>
      <c r="D21" t="s">
        <v>62</v>
      </c>
      <c r="I21" s="24" t="s">
        <v>67</v>
      </c>
    </row>
    <row r="22" spans="1:13" x14ac:dyDescent="0.25">
      <c r="A22" t="s">
        <v>0</v>
      </c>
      <c r="C22" s="1">
        <f t="shared" si="0"/>
        <v>9</v>
      </c>
      <c r="D22" t="s">
        <v>63</v>
      </c>
      <c r="I22" s="24" t="s">
        <v>65</v>
      </c>
    </row>
    <row r="23" spans="1:13" x14ac:dyDescent="0.25">
      <c r="A23" t="s">
        <v>0</v>
      </c>
      <c r="C23" s="1">
        <f t="shared" si="0"/>
        <v>10</v>
      </c>
      <c r="D23" t="s">
        <v>63</v>
      </c>
      <c r="I23" s="24" t="s">
        <v>66</v>
      </c>
    </row>
    <row r="24" spans="1:13" x14ac:dyDescent="0.25">
      <c r="A24" t="s">
        <v>0</v>
      </c>
    </row>
    <row r="25" spans="1:13" x14ac:dyDescent="0.25">
      <c r="A25" t="s">
        <v>0</v>
      </c>
    </row>
    <row r="26" spans="1:13" x14ac:dyDescent="0.25">
      <c r="A26" t="s">
        <v>0</v>
      </c>
      <c r="B26" s="26" t="s">
        <v>68</v>
      </c>
      <c r="C26" s="27"/>
      <c r="D26" s="27"/>
      <c r="E26" s="27"/>
      <c r="F26" s="27"/>
      <c r="G26" s="26" t="s">
        <v>71</v>
      </c>
      <c r="H26" s="27"/>
      <c r="I26" s="27"/>
      <c r="J26" s="27"/>
      <c r="K26" s="27"/>
    </row>
    <row r="27" spans="1:13" x14ac:dyDescent="0.25">
      <c r="A27" t="s">
        <v>0</v>
      </c>
      <c r="B27" s="26" t="s">
        <v>69</v>
      </c>
      <c r="C27" s="27"/>
      <c r="D27" s="27"/>
      <c r="E27" s="42" t="s">
        <v>70</v>
      </c>
      <c r="F27" s="27"/>
      <c r="G27" s="26" t="s">
        <v>69</v>
      </c>
      <c r="H27" s="27"/>
      <c r="I27" s="27"/>
      <c r="J27" s="42" t="s">
        <v>70</v>
      </c>
      <c r="K27" s="27"/>
    </row>
    <row r="28" spans="1:13" x14ac:dyDescent="0.25">
      <c r="A28" t="s">
        <v>72</v>
      </c>
      <c r="B28" s="15"/>
      <c r="E28" s="43"/>
      <c r="G28" s="15"/>
      <c r="J28" s="43"/>
    </row>
    <row r="29" spans="1:13" x14ac:dyDescent="0.25">
      <c r="A29" s="25" t="s">
        <v>73</v>
      </c>
      <c r="B29" s="35" t="s">
        <v>90</v>
      </c>
      <c r="C29" s="36" t="s">
        <v>91</v>
      </c>
      <c r="D29" s="36" t="s">
        <v>92</v>
      </c>
      <c r="E29" s="44" t="s">
        <v>90</v>
      </c>
      <c r="F29" s="36" t="s">
        <v>91</v>
      </c>
      <c r="G29" s="35" t="s">
        <v>90</v>
      </c>
      <c r="H29" s="36" t="s">
        <v>91</v>
      </c>
      <c r="I29" s="36" t="s">
        <v>92</v>
      </c>
      <c r="J29" s="44" t="s">
        <v>90</v>
      </c>
      <c r="K29" s="36" t="s">
        <v>91</v>
      </c>
    </row>
    <row r="30" spans="1:13" x14ac:dyDescent="0.25">
      <c r="A30" s="28">
        <v>0</v>
      </c>
      <c r="B30" s="39">
        <v>7.3700000000000002E-2</v>
      </c>
      <c r="C30" s="29">
        <v>1.4E-3</v>
      </c>
      <c r="D30" s="29">
        <v>0.16919999999999999</v>
      </c>
      <c r="E30" s="45">
        <v>5.21E-2</v>
      </c>
      <c r="F30" s="29">
        <v>2.5100000000000001E-2</v>
      </c>
      <c r="G30" s="39">
        <v>5.5100000000000003E-2</v>
      </c>
      <c r="H30" s="29">
        <v>2.8E-3</v>
      </c>
      <c r="I30" s="29">
        <v>8.5199999999999998E-2</v>
      </c>
      <c r="J30" s="45">
        <v>4.4600000000000001E-2</v>
      </c>
      <c r="K30" s="29">
        <v>2.3800000000000002E-2</v>
      </c>
      <c r="L30" s="6" t="s">
        <v>0</v>
      </c>
      <c r="M30" s="24" t="s">
        <v>74</v>
      </c>
    </row>
    <row r="31" spans="1:13" x14ac:dyDescent="0.25">
      <c r="A31" s="1">
        <v>5008</v>
      </c>
      <c r="B31" s="40">
        <v>8.5739999999999997E-2</v>
      </c>
      <c r="C31" s="30">
        <v>6.4399999999999995E-3</v>
      </c>
      <c r="D31" s="30">
        <v>9.2759999999999995E-2</v>
      </c>
      <c r="E31" s="46">
        <v>4.3909999999999998E-2</v>
      </c>
      <c r="F31" s="30">
        <v>2.818E-2</v>
      </c>
      <c r="G31" s="40">
        <v>6.448000000000001E-2</v>
      </c>
      <c r="H31" s="30">
        <v>7.8399999999999997E-3</v>
      </c>
      <c r="I31" s="30">
        <v>4.5930000000000006E-2</v>
      </c>
      <c r="J31" s="46">
        <v>3.7739999999999996E-2</v>
      </c>
      <c r="K31" s="30">
        <v>2.6949999999999998E-2</v>
      </c>
      <c r="L31" s="6" t="s">
        <v>0</v>
      </c>
      <c r="M31" s="24" t="s">
        <v>75</v>
      </c>
    </row>
    <row r="32" spans="1:13" x14ac:dyDescent="0.25">
      <c r="A32" s="1">
        <v>7008</v>
      </c>
      <c r="B32" s="40">
        <v>8.5859999999999992E-2</v>
      </c>
      <c r="C32" s="30">
        <v>7.5999999999999991E-3</v>
      </c>
      <c r="D32" s="30">
        <v>8.5639999999999994E-2</v>
      </c>
      <c r="E32" s="46">
        <v>4.2950000000000002E-2</v>
      </c>
      <c r="F32" s="30">
        <v>2.8539999999999999E-2</v>
      </c>
      <c r="G32" s="40">
        <v>6.4600000000000005E-2</v>
      </c>
      <c r="H32" s="30">
        <v>8.879999999999999E-3</v>
      </c>
      <c r="I32" s="30">
        <v>4.2009999999999999E-2</v>
      </c>
      <c r="J32" s="46">
        <v>3.6859999999999997E-2</v>
      </c>
      <c r="K32" s="30">
        <v>2.7349999999999999E-2</v>
      </c>
      <c r="L32" s="6" t="s">
        <v>0</v>
      </c>
      <c r="M32" s="24" t="s">
        <v>76</v>
      </c>
    </row>
    <row r="33" spans="1:15" x14ac:dyDescent="0.25">
      <c r="A33" s="22">
        <v>10008</v>
      </c>
      <c r="B33" s="41">
        <v>8.5949999999999999E-2</v>
      </c>
      <c r="C33" s="31">
        <v>8.4699999999999984E-3</v>
      </c>
      <c r="D33" s="31">
        <v>8.0299999999999996E-2</v>
      </c>
      <c r="E33" s="47">
        <v>4.2230000000000004E-2</v>
      </c>
      <c r="F33" s="31">
        <v>2.8809999999999999E-2</v>
      </c>
      <c r="G33" s="41">
        <v>6.4689999999999998E-2</v>
      </c>
      <c r="H33" s="31">
        <v>9.6599999999999984E-3</v>
      </c>
      <c r="I33" s="31">
        <v>3.9070000000000001E-2</v>
      </c>
      <c r="J33" s="47">
        <v>3.6199999999999996E-2</v>
      </c>
      <c r="K33" s="31">
        <v>2.7650000000000001E-2</v>
      </c>
      <c r="L33" s="6" t="s">
        <v>0</v>
      </c>
      <c r="M33" s="24" t="s">
        <v>77</v>
      </c>
    </row>
    <row r="34" spans="1:15" x14ac:dyDescent="0.25">
      <c r="A34" s="1">
        <v>5016</v>
      </c>
      <c r="B34" s="40">
        <v>8.9179999999999995E-2</v>
      </c>
      <c r="C34" s="30">
        <v>7.8799999999999999E-3</v>
      </c>
      <c r="D34" s="30">
        <v>7.0919999999999997E-2</v>
      </c>
      <c r="E34" s="46">
        <v>4.1569999999999996E-2</v>
      </c>
      <c r="F34" s="30">
        <v>2.9059999999999999E-2</v>
      </c>
      <c r="G34" s="40">
        <v>6.7160000000000011E-2</v>
      </c>
      <c r="H34" s="30">
        <v>9.2800000000000001E-3</v>
      </c>
      <c r="I34" s="30">
        <v>3.4709999999999998E-2</v>
      </c>
      <c r="J34" s="46">
        <v>3.5779999999999999E-2</v>
      </c>
      <c r="K34" s="30">
        <v>2.785E-2</v>
      </c>
      <c r="L34" s="6" t="s">
        <v>0</v>
      </c>
      <c r="M34" s="24" t="s">
        <v>78</v>
      </c>
    </row>
    <row r="35" spans="1:15" x14ac:dyDescent="0.25">
      <c r="A35" s="1">
        <v>7016</v>
      </c>
      <c r="B35" s="40">
        <v>8.9334285714285713E-2</v>
      </c>
      <c r="C35" s="30">
        <v>9.3714285714285722E-3</v>
      </c>
      <c r="D35" s="30">
        <v>6.1765714285714278E-2</v>
      </c>
      <c r="E35" s="46">
        <v>4.033571428571428E-2</v>
      </c>
      <c r="F35" s="30">
        <v>2.9522857142857142E-2</v>
      </c>
      <c r="G35" s="40">
        <v>6.7314285714285715E-2</v>
      </c>
      <c r="H35" s="30">
        <v>1.0617142857142858E-2</v>
      </c>
      <c r="I35" s="30">
        <v>2.9669999999999995E-2</v>
      </c>
      <c r="J35" s="46">
        <v>3.4648571428571424E-2</v>
      </c>
      <c r="K35" s="30">
        <v>2.8364285714285713E-2</v>
      </c>
      <c r="L35" s="6" t="s">
        <v>0</v>
      </c>
      <c r="M35" s="24" t="s">
        <v>79</v>
      </c>
    </row>
    <row r="36" spans="1:15" x14ac:dyDescent="0.25">
      <c r="A36" s="22">
        <v>10016</v>
      </c>
      <c r="B36" s="41">
        <v>8.9450000000000002E-2</v>
      </c>
      <c r="C36" s="31">
        <v>1.0489999999999999E-2</v>
      </c>
      <c r="D36" s="31">
        <v>5.489999999999999E-2</v>
      </c>
      <c r="E36" s="47">
        <v>3.9410000000000001E-2</v>
      </c>
      <c r="F36" s="31">
        <v>2.9870000000000001E-2</v>
      </c>
      <c r="G36" s="41">
        <v>6.7430000000000004E-2</v>
      </c>
      <c r="H36" s="31">
        <v>1.162E-2</v>
      </c>
      <c r="I36" s="31">
        <v>2.5889999999999996E-2</v>
      </c>
      <c r="J36" s="47">
        <v>3.3799999999999997E-2</v>
      </c>
      <c r="K36" s="31">
        <v>2.8750000000000001E-2</v>
      </c>
      <c r="L36" s="6" t="s">
        <v>0</v>
      </c>
      <c r="M36" s="24" t="s">
        <v>80</v>
      </c>
    </row>
    <row r="37" spans="1:15" x14ac:dyDescent="0.25">
      <c r="A37" s="1">
        <v>5024</v>
      </c>
      <c r="B37" s="40">
        <v>9.0899999999999995E-2</v>
      </c>
      <c r="C37" s="30">
        <v>8.6E-3</v>
      </c>
      <c r="D37" s="30">
        <v>0.06</v>
      </c>
      <c r="E37" s="46">
        <v>4.0399999999999998E-2</v>
      </c>
      <c r="F37" s="30">
        <v>2.9499999999999998E-2</v>
      </c>
      <c r="G37" s="40">
        <v>6.8500000000000005E-2</v>
      </c>
      <c r="H37" s="30">
        <v>0.01</v>
      </c>
      <c r="I37" s="30">
        <v>2.9100000000000001E-2</v>
      </c>
      <c r="J37" s="46">
        <v>3.4799999999999998E-2</v>
      </c>
      <c r="K37" s="30">
        <v>2.8299999999999999E-2</v>
      </c>
      <c r="L37" s="6" t="s">
        <v>0</v>
      </c>
      <c r="M37" s="24" t="s">
        <v>81</v>
      </c>
    </row>
    <row r="38" spans="1:15" x14ac:dyDescent="0.25">
      <c r="A38" s="1">
        <v>7024</v>
      </c>
      <c r="B38" s="40">
        <v>9.1071428571428567E-2</v>
      </c>
      <c r="C38" s="30">
        <v>1.0257142857142857E-2</v>
      </c>
      <c r="D38" s="30">
        <v>4.9828571428571423E-2</v>
      </c>
      <c r="E38" s="46">
        <v>3.9028571428571426E-2</v>
      </c>
      <c r="F38" s="30">
        <v>3.0014285714285712E-2</v>
      </c>
      <c r="G38" s="40">
        <v>6.8671428571428578E-2</v>
      </c>
      <c r="H38" s="30">
        <v>1.1485714285714287E-2</v>
      </c>
      <c r="I38" s="30">
        <v>2.35E-2</v>
      </c>
      <c r="J38" s="46">
        <v>3.3542857142857138E-2</v>
      </c>
      <c r="K38" s="30">
        <v>2.8871428571428572E-2</v>
      </c>
      <c r="L38" s="6" t="s">
        <v>0</v>
      </c>
      <c r="M38" s="24" t="s">
        <v>82</v>
      </c>
    </row>
    <row r="39" spans="1:15" x14ac:dyDescent="0.25">
      <c r="A39" s="1">
        <v>10024</v>
      </c>
      <c r="B39" s="40">
        <v>9.1200000000000003E-2</v>
      </c>
      <c r="C39" s="30">
        <v>1.15E-2</v>
      </c>
      <c r="D39" s="30">
        <v>4.2200000000000001E-2</v>
      </c>
      <c r="E39" s="46">
        <v>3.7999999999999999E-2</v>
      </c>
      <c r="F39" s="30">
        <v>3.04E-2</v>
      </c>
      <c r="G39" s="40">
        <v>6.88E-2</v>
      </c>
      <c r="H39" s="30">
        <v>1.26E-2</v>
      </c>
      <c r="I39" s="30">
        <v>1.9300000000000001E-2</v>
      </c>
      <c r="J39" s="46">
        <v>3.2599999999999997E-2</v>
      </c>
      <c r="K39" s="30">
        <v>2.93E-2</v>
      </c>
      <c r="L39" s="6" t="s">
        <v>0</v>
      </c>
      <c r="M39" s="24" t="s">
        <v>83</v>
      </c>
    </row>
    <row r="40" spans="1:15" x14ac:dyDescent="0.25">
      <c r="A40" s="22">
        <v>15024</v>
      </c>
      <c r="B40" s="41">
        <f>TREND(B37:B39,$A37:$A39,$A40)</f>
        <v>9.1506766917293231E-2</v>
      </c>
      <c r="C40" s="31">
        <f t="shared" ref="C40:K40" si="1">TREND(C37:C39,$A37:$A39,$A40)</f>
        <v>1.4465413533834588E-2</v>
      </c>
      <c r="D40" s="31">
        <f t="shared" si="1"/>
        <v>2.3998496240601491E-2</v>
      </c>
      <c r="E40" s="47">
        <f t="shared" si="1"/>
        <v>3.5545864661654138E-2</v>
      </c>
      <c r="F40" s="31">
        <f t="shared" si="1"/>
        <v>3.13203007518797E-2</v>
      </c>
      <c r="G40" s="41">
        <f t="shared" si="1"/>
        <v>6.9106766917293228E-2</v>
      </c>
      <c r="H40" s="31">
        <f t="shared" si="1"/>
        <v>1.5258646616541353E-2</v>
      </c>
      <c r="I40" s="31">
        <f t="shared" si="1"/>
        <v>9.2789473684210533E-3</v>
      </c>
      <c r="J40" s="47">
        <f t="shared" si="1"/>
        <v>3.0350375939849621E-2</v>
      </c>
      <c r="K40" s="31">
        <f t="shared" si="1"/>
        <v>3.0322556390977438E-2</v>
      </c>
      <c r="L40" s="6" t="s">
        <v>0</v>
      </c>
      <c r="M40" s="24" t="s">
        <v>440</v>
      </c>
    </row>
    <row r="41" spans="1:15" x14ac:dyDescent="0.25">
      <c r="A41" s="1">
        <v>5048</v>
      </c>
      <c r="B41" s="40">
        <v>8.1699999999999995E-2</v>
      </c>
      <c r="C41" s="30">
        <v>1.3899999999999999E-2</v>
      </c>
      <c r="D41" s="30">
        <v>4.7899999999999998E-2</v>
      </c>
      <c r="E41" s="46">
        <v>3.5099999999999999E-2</v>
      </c>
      <c r="F41" s="30">
        <v>3.1399999999999997E-2</v>
      </c>
      <c r="G41" s="40">
        <v>6.2899999999999998E-2</v>
      </c>
      <c r="H41" s="30">
        <v>1.41E-2</v>
      </c>
      <c r="I41" s="30">
        <v>2.24E-2</v>
      </c>
      <c r="J41" s="46">
        <v>3.0599999999999999E-2</v>
      </c>
      <c r="K41" s="30">
        <v>2.9899999999999999E-2</v>
      </c>
      <c r="L41" s="6" t="s">
        <v>0</v>
      </c>
      <c r="M41" s="24" t="s">
        <v>84</v>
      </c>
    </row>
    <row r="42" spans="1:15" x14ac:dyDescent="0.25">
      <c r="A42" s="1">
        <v>7048</v>
      </c>
      <c r="B42" s="40">
        <v>7.9242857142857143E-2</v>
      </c>
      <c r="C42" s="30">
        <v>1.7042857142857144E-2</v>
      </c>
      <c r="D42" s="30">
        <v>3.5271428571428565E-2</v>
      </c>
      <c r="E42" s="46">
        <v>3.264285714285714E-2</v>
      </c>
      <c r="F42" s="30">
        <v>3.2314285714285712E-2</v>
      </c>
      <c r="G42" s="40">
        <v>6.6271428571428564E-2</v>
      </c>
      <c r="H42" s="30">
        <v>1.3242857142857143E-2</v>
      </c>
      <c r="I42" s="30">
        <v>2.062857142857143E-2</v>
      </c>
      <c r="J42" s="46">
        <v>2.8371428571428572E-2</v>
      </c>
      <c r="K42" s="30">
        <v>3.0871428571428574E-2</v>
      </c>
      <c r="L42" s="6" t="s">
        <v>0</v>
      </c>
      <c r="M42" s="24" t="s">
        <v>85</v>
      </c>
    </row>
    <row r="43" spans="1:15" x14ac:dyDescent="0.25">
      <c r="A43" s="1">
        <v>10048</v>
      </c>
      <c r="B43" s="40">
        <v>7.7399999999999997E-2</v>
      </c>
      <c r="C43" s="30">
        <v>1.9400000000000001E-2</v>
      </c>
      <c r="D43" s="30">
        <v>2.58E-2</v>
      </c>
      <c r="E43" s="46">
        <v>3.0800000000000001E-2</v>
      </c>
      <c r="F43" s="30">
        <v>3.3000000000000002E-2</v>
      </c>
      <c r="G43" s="40">
        <v>6.88E-2</v>
      </c>
      <c r="H43" s="30">
        <v>1.26E-2</v>
      </c>
      <c r="I43" s="30">
        <v>1.9300000000000001E-2</v>
      </c>
      <c r="J43" s="46">
        <v>2.6700000000000002E-2</v>
      </c>
      <c r="K43" s="30">
        <v>3.1600000000000003E-2</v>
      </c>
      <c r="L43" s="6" t="s">
        <v>0</v>
      </c>
      <c r="M43" s="24" t="s">
        <v>86</v>
      </c>
    </row>
    <row r="44" spans="1:15" x14ac:dyDescent="0.25">
      <c r="A44" s="1">
        <v>15048</v>
      </c>
      <c r="B44" s="40">
        <v>7.4499999999999997E-2</v>
      </c>
      <c r="C44" s="30">
        <v>2.24E-2</v>
      </c>
      <c r="D44" s="30">
        <v>1.61E-2</v>
      </c>
      <c r="E44" s="46">
        <v>2.87E-2</v>
      </c>
      <c r="F44" s="30">
        <v>3.39E-2</v>
      </c>
      <c r="G44" s="40">
        <v>5.7700000000000001E-2</v>
      </c>
      <c r="H44" s="30">
        <v>2.1700000000000001E-2</v>
      </c>
      <c r="I44" s="30">
        <v>4.7000000000000002E-3</v>
      </c>
      <c r="J44" s="46">
        <v>2.4799999999999999E-2</v>
      </c>
      <c r="K44" s="30">
        <v>3.2500000000000001E-2</v>
      </c>
      <c r="L44" s="6" t="s">
        <v>0</v>
      </c>
      <c r="M44" s="24" t="s">
        <v>87</v>
      </c>
    </row>
    <row r="45" spans="1:15" x14ac:dyDescent="0.25">
      <c r="A45" s="1">
        <v>20048</v>
      </c>
      <c r="B45" s="40">
        <v>7.2400000000000006E-2</v>
      </c>
      <c r="C45" s="30">
        <v>2.24E-2</v>
      </c>
      <c r="D45" s="30">
        <v>1.06E-2</v>
      </c>
      <c r="E45" s="46">
        <v>2.7300000000000001E-2</v>
      </c>
      <c r="F45" s="30">
        <v>3.4500000000000003E-2</v>
      </c>
      <c r="G45" s="40">
        <v>5.6099999999999997E-2</v>
      </c>
      <c r="H45" s="30">
        <v>2.35E-2</v>
      </c>
      <c r="I45" s="30">
        <v>1.6000000000000001E-3</v>
      </c>
      <c r="J45" s="46">
        <v>2.35E-2</v>
      </c>
      <c r="K45" s="30">
        <v>3.3099999999999997E-2</v>
      </c>
      <c r="L45" s="6" t="s">
        <v>0</v>
      </c>
      <c r="M45" s="24" t="s">
        <v>88</v>
      </c>
    </row>
    <row r="46" spans="1:15" x14ac:dyDescent="0.25">
      <c r="A46" s="12">
        <v>-99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12" t="s">
        <v>0</v>
      </c>
      <c r="M46" s="33" t="s">
        <v>89</v>
      </c>
      <c r="N46" s="34"/>
      <c r="O46" s="3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10"/>
  <sheetViews>
    <sheetView topLeftCell="A97" zoomScale="110" zoomScaleNormal="110" workbookViewId="0">
      <selection activeCell="G59" sqref="G59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9.7109375" customWidth="1"/>
    <col min="5" max="5" width="31.5703125" customWidth="1"/>
    <col min="6" max="6" width="4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0</v>
      </c>
      <c r="B2" t="s">
        <v>261</v>
      </c>
    </row>
    <row r="3" spans="1:4" x14ac:dyDescent="0.25">
      <c r="A3" t="s">
        <v>0</v>
      </c>
      <c r="B3" t="s">
        <v>3</v>
      </c>
      <c r="D3" t="s">
        <v>723</v>
      </c>
    </row>
    <row r="4" spans="1:4" x14ac:dyDescent="0.25">
      <c r="A4" t="s">
        <v>0</v>
      </c>
    </row>
    <row r="5" spans="1:4" x14ac:dyDescent="0.25">
      <c r="A5" t="s">
        <v>0</v>
      </c>
      <c r="B5" t="s">
        <v>24</v>
      </c>
      <c r="D5" t="s">
        <v>262</v>
      </c>
    </row>
    <row r="6" spans="1:4" x14ac:dyDescent="0.25">
      <c r="A6" t="s">
        <v>0</v>
      </c>
    </row>
    <row r="7" spans="1:4" x14ac:dyDescent="0.25">
      <c r="A7" t="s">
        <v>0</v>
      </c>
      <c r="B7" t="s">
        <v>4</v>
      </c>
      <c r="D7" t="s">
        <v>373</v>
      </c>
    </row>
    <row r="8" spans="1:4" x14ac:dyDescent="0.25">
      <c r="A8" t="s">
        <v>0</v>
      </c>
      <c r="D8" t="s">
        <v>372</v>
      </c>
    </row>
    <row r="9" spans="1:4" x14ac:dyDescent="0.25">
      <c r="A9" t="s">
        <v>0</v>
      </c>
      <c r="D9" t="s">
        <v>540</v>
      </c>
    </row>
    <row r="10" spans="1:4" x14ac:dyDescent="0.25">
      <c r="A10" t="s">
        <v>0</v>
      </c>
      <c r="D10" t="s">
        <v>720</v>
      </c>
    </row>
    <row r="11" spans="1:4" x14ac:dyDescent="0.25">
      <c r="A11" t="s">
        <v>0</v>
      </c>
      <c r="D11" t="s">
        <v>722</v>
      </c>
    </row>
    <row r="12" spans="1:4" x14ac:dyDescent="0.25">
      <c r="A12" t="s">
        <v>0</v>
      </c>
      <c r="D12" t="s">
        <v>724</v>
      </c>
    </row>
    <row r="13" spans="1:4" x14ac:dyDescent="0.25">
      <c r="A13" t="s">
        <v>0</v>
      </c>
    </row>
    <row r="14" spans="1:4" x14ac:dyDescent="0.25">
      <c r="A14" t="s">
        <v>0</v>
      </c>
      <c r="B14" t="s">
        <v>6</v>
      </c>
    </row>
    <row r="15" spans="1:4" x14ac:dyDescent="0.25">
      <c r="A15" t="s">
        <v>0</v>
      </c>
      <c r="C15" s="1">
        <v>1</v>
      </c>
      <c r="D15" t="s">
        <v>263</v>
      </c>
    </row>
    <row r="16" spans="1:4" x14ac:dyDescent="0.25">
      <c r="A16" t="s">
        <v>0</v>
      </c>
      <c r="C16" s="1"/>
    </row>
    <row r="17" spans="1:7" x14ac:dyDescent="0.25">
      <c r="A17" t="s">
        <v>0</v>
      </c>
      <c r="B17" t="s">
        <v>7</v>
      </c>
      <c r="C17" s="1"/>
    </row>
    <row r="18" spans="1:7" x14ac:dyDescent="0.25">
      <c r="A18" t="s">
        <v>0</v>
      </c>
      <c r="C18" s="1">
        <v>1</v>
      </c>
      <c r="D18" t="s">
        <v>355</v>
      </c>
    </row>
    <row r="19" spans="1:7" x14ac:dyDescent="0.25">
      <c r="A19" t="s">
        <v>0</v>
      </c>
      <c r="C19" s="1">
        <v>2</v>
      </c>
      <c r="D19" t="s">
        <v>356</v>
      </c>
    </row>
    <row r="20" spans="1:7" x14ac:dyDescent="0.25">
      <c r="A20" t="s">
        <v>0</v>
      </c>
      <c r="C20" s="1"/>
      <c r="D20" s="1"/>
    </row>
    <row r="21" spans="1:7" x14ac:dyDescent="0.25">
      <c r="B21" t="s">
        <v>545</v>
      </c>
      <c r="D21" s="15"/>
    </row>
    <row r="22" spans="1:7" x14ac:dyDescent="0.25">
      <c r="C22" s="19" t="s">
        <v>260</v>
      </c>
      <c r="D22" s="20" t="s">
        <v>352</v>
      </c>
      <c r="E22" s="22" t="s">
        <v>264</v>
      </c>
    </row>
    <row r="23" spans="1:7" ht="15.75" x14ac:dyDescent="0.25">
      <c r="C23" s="1">
        <v>99001</v>
      </c>
      <c r="D23" s="121">
        <v>0</v>
      </c>
      <c r="E23" s="108" t="s">
        <v>265</v>
      </c>
      <c r="F23" s="1" t="s">
        <v>0</v>
      </c>
      <c r="G23" s="24" t="s">
        <v>372</v>
      </c>
    </row>
    <row r="24" spans="1:7" ht="15.75" x14ac:dyDescent="0.25">
      <c r="C24" s="1">
        <v>99002</v>
      </c>
      <c r="D24" s="121">
        <v>0</v>
      </c>
      <c r="E24" s="109" t="s">
        <v>266</v>
      </c>
      <c r="F24" s="1" t="s">
        <v>0</v>
      </c>
    </row>
    <row r="25" spans="1:7" ht="15.75" x14ac:dyDescent="0.25">
      <c r="C25" s="1">
        <v>99003</v>
      </c>
      <c r="D25" s="121">
        <v>0</v>
      </c>
      <c r="E25" s="109" t="s">
        <v>267</v>
      </c>
      <c r="F25" s="1" t="s">
        <v>0</v>
      </c>
    </row>
    <row r="26" spans="1:7" ht="15.75" x14ac:dyDescent="0.25">
      <c r="C26" s="1">
        <v>99004</v>
      </c>
      <c r="D26" s="121">
        <v>0</v>
      </c>
      <c r="E26" s="109" t="s">
        <v>268</v>
      </c>
      <c r="F26" s="1" t="s">
        <v>0</v>
      </c>
    </row>
    <row r="27" spans="1:7" ht="15.75" x14ac:dyDescent="0.25">
      <c r="C27" s="1">
        <v>99005</v>
      </c>
      <c r="D27" s="121">
        <v>0</v>
      </c>
      <c r="E27" s="109" t="s">
        <v>269</v>
      </c>
      <c r="F27" s="1" t="s">
        <v>0</v>
      </c>
    </row>
    <row r="28" spans="1:7" ht="15.75" x14ac:dyDescent="0.25">
      <c r="C28" s="1">
        <v>99006</v>
      </c>
      <c r="D28" s="121">
        <v>0</v>
      </c>
      <c r="E28" s="109" t="s">
        <v>270</v>
      </c>
      <c r="F28" s="1" t="s">
        <v>0</v>
      </c>
    </row>
    <row r="29" spans="1:7" ht="15.75" x14ac:dyDescent="0.25">
      <c r="C29" s="1">
        <v>99007</v>
      </c>
      <c r="D29" s="121">
        <v>0</v>
      </c>
      <c r="E29" s="109" t="s">
        <v>271</v>
      </c>
      <c r="F29" s="1" t="s">
        <v>0</v>
      </c>
    </row>
    <row r="30" spans="1:7" ht="15.75" x14ac:dyDescent="0.25">
      <c r="C30" s="1">
        <v>99008</v>
      </c>
      <c r="D30" s="121">
        <v>0</v>
      </c>
      <c r="E30" s="109" t="s">
        <v>272</v>
      </c>
      <c r="F30" s="1" t="s">
        <v>0</v>
      </c>
    </row>
    <row r="31" spans="1:7" ht="15.75" x14ac:dyDescent="0.25">
      <c r="C31" s="1">
        <v>99009</v>
      </c>
      <c r="D31" s="121">
        <v>0</v>
      </c>
      <c r="E31" s="109" t="s">
        <v>273</v>
      </c>
      <c r="F31" s="1" t="s">
        <v>0</v>
      </c>
    </row>
    <row r="32" spans="1:7" ht="15.75" x14ac:dyDescent="0.25">
      <c r="C32" s="1">
        <v>99010</v>
      </c>
      <c r="D32" s="121">
        <v>0</v>
      </c>
      <c r="E32" s="109" t="s">
        <v>274</v>
      </c>
      <c r="F32" s="1" t="s">
        <v>0</v>
      </c>
    </row>
    <row r="33" spans="3:7" ht="15.75" x14ac:dyDescent="0.25">
      <c r="C33" s="1">
        <v>99011</v>
      </c>
      <c r="D33" s="121">
        <v>0</v>
      </c>
      <c r="E33" s="109" t="s">
        <v>275</v>
      </c>
      <c r="F33" s="1" t="s">
        <v>0</v>
      </c>
    </row>
    <row r="34" spans="3:7" ht="15.75" x14ac:dyDescent="0.25">
      <c r="C34" s="22">
        <v>99012</v>
      </c>
      <c r="D34" s="122">
        <v>0</v>
      </c>
      <c r="E34" s="110" t="s">
        <v>276</v>
      </c>
      <c r="F34" s="22" t="s">
        <v>0</v>
      </c>
      <c r="G34" s="19"/>
    </row>
    <row r="35" spans="3:7" ht="15.75" x14ac:dyDescent="0.25">
      <c r="C35" s="1">
        <v>100101</v>
      </c>
      <c r="D35" s="111">
        <v>1</v>
      </c>
      <c r="E35" s="109" t="s">
        <v>277</v>
      </c>
      <c r="F35" s="1" t="s">
        <v>0</v>
      </c>
    </row>
    <row r="36" spans="3:7" ht="15.75" x14ac:dyDescent="0.25">
      <c r="C36" s="1">
        <v>100102</v>
      </c>
      <c r="D36" s="111">
        <v>1</v>
      </c>
      <c r="E36" s="109" t="s">
        <v>278</v>
      </c>
      <c r="F36" s="1" t="s">
        <v>0</v>
      </c>
    </row>
    <row r="37" spans="3:7" ht="15.75" x14ac:dyDescent="0.25">
      <c r="C37" s="1">
        <v>100103</v>
      </c>
      <c r="D37" s="111">
        <v>1</v>
      </c>
      <c r="E37" s="109" t="s">
        <v>279</v>
      </c>
      <c r="F37" s="1" t="s">
        <v>0</v>
      </c>
    </row>
    <row r="38" spans="3:7" ht="15.75" x14ac:dyDescent="0.25">
      <c r="C38" s="1">
        <v>100104</v>
      </c>
      <c r="D38" s="111">
        <v>1</v>
      </c>
      <c r="E38" s="109" t="s">
        <v>280</v>
      </c>
      <c r="F38" s="1" t="s">
        <v>0</v>
      </c>
    </row>
    <row r="39" spans="3:7" ht="15.75" x14ac:dyDescent="0.25">
      <c r="C39" s="1">
        <v>100105</v>
      </c>
      <c r="D39" s="111">
        <v>1</v>
      </c>
      <c r="E39" s="109" t="s">
        <v>281</v>
      </c>
      <c r="F39" s="1" t="s">
        <v>0</v>
      </c>
    </row>
    <row r="40" spans="3:7" ht="15.75" x14ac:dyDescent="0.25">
      <c r="C40" s="1">
        <v>100106</v>
      </c>
      <c r="D40" s="111">
        <v>1</v>
      </c>
      <c r="E40" s="109" t="s">
        <v>282</v>
      </c>
      <c r="F40" s="1" t="s">
        <v>0</v>
      </c>
    </row>
    <row r="41" spans="3:7" ht="15.75" x14ac:dyDescent="0.25">
      <c r="C41" s="1">
        <v>100107</v>
      </c>
      <c r="D41" s="111">
        <v>1</v>
      </c>
      <c r="E41" s="109" t="s">
        <v>283</v>
      </c>
      <c r="F41" s="1" t="s">
        <v>0</v>
      </c>
    </row>
    <row r="42" spans="3:7" ht="15.75" x14ac:dyDescent="0.25">
      <c r="C42" s="1">
        <v>100108</v>
      </c>
      <c r="D42" s="111">
        <v>1</v>
      </c>
      <c r="E42" s="109" t="s">
        <v>284</v>
      </c>
      <c r="F42" s="1" t="s">
        <v>0</v>
      </c>
    </row>
    <row r="43" spans="3:7" ht="15.75" x14ac:dyDescent="0.25">
      <c r="C43" s="1">
        <v>100109</v>
      </c>
      <c r="D43" s="111">
        <v>1</v>
      </c>
      <c r="E43" s="109" t="s">
        <v>285</v>
      </c>
      <c r="F43" s="1" t="s">
        <v>0</v>
      </c>
    </row>
    <row r="44" spans="3:7" ht="15.75" x14ac:dyDescent="0.25">
      <c r="C44" s="1">
        <v>100110</v>
      </c>
      <c r="D44" s="111">
        <v>1</v>
      </c>
      <c r="E44" s="109" t="s">
        <v>286</v>
      </c>
      <c r="F44" s="1" t="s">
        <v>0</v>
      </c>
    </row>
    <row r="45" spans="3:7" ht="15.75" x14ac:dyDescent="0.25">
      <c r="C45" s="1">
        <v>100111</v>
      </c>
      <c r="D45" s="111">
        <v>1</v>
      </c>
      <c r="E45" s="109" t="s">
        <v>287</v>
      </c>
      <c r="F45" s="1" t="s">
        <v>0</v>
      </c>
    </row>
    <row r="46" spans="3:7" ht="15.75" x14ac:dyDescent="0.25">
      <c r="C46" s="1">
        <v>100112</v>
      </c>
      <c r="D46" s="111">
        <v>1</v>
      </c>
      <c r="E46" s="109" t="s">
        <v>539</v>
      </c>
      <c r="F46" s="1" t="s">
        <v>0</v>
      </c>
    </row>
    <row r="47" spans="3:7" ht="15.75" x14ac:dyDescent="0.25">
      <c r="C47" s="1">
        <v>100113</v>
      </c>
      <c r="D47" s="111">
        <v>1</v>
      </c>
      <c r="E47" s="109" t="s">
        <v>721</v>
      </c>
      <c r="F47" s="1" t="s">
        <v>0</v>
      </c>
    </row>
    <row r="48" spans="3:7" ht="15.75" x14ac:dyDescent="0.25">
      <c r="C48" s="1">
        <v>100201</v>
      </c>
      <c r="D48" s="111">
        <v>1</v>
      </c>
      <c r="E48" s="109" t="s">
        <v>288</v>
      </c>
      <c r="F48" s="1" t="s">
        <v>0</v>
      </c>
    </row>
    <row r="49" spans="3:7" ht="15.75" x14ac:dyDescent="0.25">
      <c r="C49" s="1">
        <v>100202</v>
      </c>
      <c r="D49" s="111">
        <v>1</v>
      </c>
      <c r="E49" s="109" t="s">
        <v>289</v>
      </c>
      <c r="F49" s="1" t="s">
        <v>0</v>
      </c>
    </row>
    <row r="50" spans="3:7" ht="15.75" x14ac:dyDescent="0.25">
      <c r="C50" s="1">
        <v>100203</v>
      </c>
      <c r="D50" s="111">
        <v>1</v>
      </c>
      <c r="E50" s="109" t="s">
        <v>290</v>
      </c>
      <c r="F50" s="1" t="s">
        <v>0</v>
      </c>
    </row>
    <row r="51" spans="3:7" ht="15.75" x14ac:dyDescent="0.25">
      <c r="C51" s="1">
        <v>100204</v>
      </c>
      <c r="D51" s="111">
        <v>1</v>
      </c>
      <c r="E51" s="109" t="s">
        <v>291</v>
      </c>
      <c r="F51" s="1" t="s">
        <v>0</v>
      </c>
    </row>
    <row r="52" spans="3:7" ht="15.75" x14ac:dyDescent="0.25">
      <c r="C52" s="1">
        <v>100205</v>
      </c>
      <c r="D52" s="111">
        <v>1</v>
      </c>
      <c r="E52" s="109" t="s">
        <v>292</v>
      </c>
      <c r="F52" s="1" t="s">
        <v>0</v>
      </c>
    </row>
    <row r="53" spans="3:7" ht="15.75" x14ac:dyDescent="0.25">
      <c r="C53" s="1">
        <v>100206</v>
      </c>
      <c r="D53" s="111">
        <v>1</v>
      </c>
      <c r="E53" s="109" t="s">
        <v>293</v>
      </c>
      <c r="F53" s="1" t="s">
        <v>0</v>
      </c>
    </row>
    <row r="54" spans="3:7" ht="15.75" x14ac:dyDescent="0.25">
      <c r="C54" s="1">
        <v>100207</v>
      </c>
      <c r="D54" s="111">
        <v>1</v>
      </c>
      <c r="E54" s="109" t="s">
        <v>441</v>
      </c>
      <c r="F54" s="1" t="s">
        <v>0</v>
      </c>
    </row>
    <row r="55" spans="3:7" ht="15.75" x14ac:dyDescent="0.25">
      <c r="C55" s="1">
        <v>100208</v>
      </c>
      <c r="D55" s="111">
        <v>1</v>
      </c>
      <c r="E55" s="109" t="s">
        <v>442</v>
      </c>
      <c r="F55" s="1" t="s">
        <v>0</v>
      </c>
    </row>
    <row r="56" spans="3:7" ht="15.75" x14ac:dyDescent="0.25">
      <c r="C56" s="1">
        <v>100209</v>
      </c>
      <c r="D56" s="111">
        <v>1</v>
      </c>
      <c r="E56" s="109" t="s">
        <v>443</v>
      </c>
      <c r="F56" s="1" t="s">
        <v>0</v>
      </c>
    </row>
    <row r="57" spans="3:7" ht="15.75" x14ac:dyDescent="0.25">
      <c r="C57" s="1">
        <v>100210</v>
      </c>
      <c r="D57" s="111">
        <v>1</v>
      </c>
      <c r="E57" s="109" t="s">
        <v>718</v>
      </c>
      <c r="F57" s="1" t="s">
        <v>0</v>
      </c>
      <c r="G57" t="s">
        <v>719</v>
      </c>
    </row>
    <row r="58" spans="3:7" ht="15.75" x14ac:dyDescent="0.25">
      <c r="C58" s="1">
        <v>100211</v>
      </c>
      <c r="D58" s="111">
        <v>1</v>
      </c>
      <c r="E58" s="109" t="s">
        <v>725</v>
      </c>
      <c r="F58" s="1" t="s">
        <v>0</v>
      </c>
      <c r="G58" t="s">
        <v>726</v>
      </c>
    </row>
    <row r="59" spans="3:7" ht="15.75" x14ac:dyDescent="0.25">
      <c r="C59" s="1">
        <v>100301</v>
      </c>
      <c r="D59" s="111">
        <v>1</v>
      </c>
      <c r="E59" s="109" t="s">
        <v>294</v>
      </c>
      <c r="F59" s="1" t="s">
        <v>0</v>
      </c>
    </row>
    <row r="60" spans="3:7" ht="15.75" x14ac:dyDescent="0.25">
      <c r="C60" s="1">
        <v>100302</v>
      </c>
      <c r="D60" s="111">
        <v>1</v>
      </c>
      <c r="E60" s="109" t="s">
        <v>295</v>
      </c>
      <c r="F60" s="1" t="s">
        <v>0</v>
      </c>
    </row>
    <row r="61" spans="3:7" ht="15.75" x14ac:dyDescent="0.25">
      <c r="C61" s="1">
        <v>100303</v>
      </c>
      <c r="D61" s="111">
        <v>1</v>
      </c>
      <c r="E61" s="109" t="s">
        <v>296</v>
      </c>
      <c r="F61" s="1" t="s">
        <v>0</v>
      </c>
    </row>
    <row r="62" spans="3:7" ht="15.75" x14ac:dyDescent="0.25">
      <c r="C62" s="1">
        <v>100401</v>
      </c>
      <c r="D62" s="111">
        <v>1</v>
      </c>
      <c r="E62" s="109" t="s">
        <v>297</v>
      </c>
      <c r="F62" s="1" t="s">
        <v>0</v>
      </c>
    </row>
    <row r="63" spans="3:7" ht="15.75" x14ac:dyDescent="0.25">
      <c r="C63" s="1">
        <v>98015</v>
      </c>
      <c r="D63" s="111">
        <v>1</v>
      </c>
      <c r="E63" s="109" t="s">
        <v>357</v>
      </c>
      <c r="F63" s="1" t="s">
        <v>0</v>
      </c>
    </row>
    <row r="64" spans="3:7" ht="15.75" x14ac:dyDescent="0.25">
      <c r="C64" s="1">
        <v>98016</v>
      </c>
      <c r="D64" s="111">
        <v>1</v>
      </c>
      <c r="E64" s="109" t="s">
        <v>358</v>
      </c>
      <c r="F64" s="1" t="s">
        <v>0</v>
      </c>
    </row>
    <row r="65" spans="3:14" ht="15.75" x14ac:dyDescent="0.25">
      <c r="C65" s="1">
        <v>98017</v>
      </c>
      <c r="D65" s="111">
        <v>1</v>
      </c>
      <c r="E65" s="109" t="s">
        <v>359</v>
      </c>
      <c r="F65" s="1" t="s">
        <v>0</v>
      </c>
    </row>
    <row r="66" spans="3:14" ht="15.75" x14ac:dyDescent="0.25">
      <c r="C66" s="22">
        <v>98018</v>
      </c>
      <c r="D66" s="112">
        <v>1</v>
      </c>
      <c r="E66" s="110" t="s">
        <v>360</v>
      </c>
      <c r="F66" s="22" t="s">
        <v>0</v>
      </c>
      <c r="G66" s="19"/>
    </row>
    <row r="67" spans="3:14" ht="15.75" x14ac:dyDescent="0.25">
      <c r="C67" s="6">
        <f xml:space="preserve"> (VLOOKUP( H67, $L$67:$N$78, 3, FALSE ) * 100) + G67</f>
        <v>980312</v>
      </c>
      <c r="D67" s="111">
        <v>1</v>
      </c>
      <c r="E67" s="109" t="s">
        <v>298</v>
      </c>
      <c r="F67" s="1" t="s">
        <v>0</v>
      </c>
      <c r="G67" s="24">
        <v>12</v>
      </c>
      <c r="H67" s="62" t="s">
        <v>340</v>
      </c>
      <c r="L67" s="102" t="s">
        <v>340</v>
      </c>
      <c r="M67" s="103"/>
      <c r="N67" s="104">
        <v>9803</v>
      </c>
    </row>
    <row r="68" spans="3:14" ht="15.75" x14ac:dyDescent="0.25">
      <c r="C68" s="6">
        <f t="shared" ref="C68:C108" si="0" xml:space="preserve"> (VLOOKUP( H68, $L$67:$N$78, 3, FALSE ) * 100) + G68</f>
        <v>980412</v>
      </c>
      <c r="D68" s="111">
        <v>1</v>
      </c>
      <c r="E68" s="109" t="s">
        <v>299</v>
      </c>
      <c r="F68" s="1" t="s">
        <v>0</v>
      </c>
      <c r="G68" s="62">
        <f>G67</f>
        <v>12</v>
      </c>
      <c r="H68" s="62" t="s">
        <v>341</v>
      </c>
      <c r="L68" s="75" t="s">
        <v>341</v>
      </c>
      <c r="N68" s="105">
        <v>9804</v>
      </c>
    </row>
    <row r="69" spans="3:14" ht="15.75" x14ac:dyDescent="0.25">
      <c r="C69" s="6">
        <f t="shared" si="0"/>
        <v>980512</v>
      </c>
      <c r="D69" s="111">
        <v>1</v>
      </c>
      <c r="E69" s="109" t="s">
        <v>300</v>
      </c>
      <c r="F69" s="1" t="s">
        <v>0</v>
      </c>
      <c r="G69" s="62">
        <f t="shared" ref="G69:G75" si="1">G68</f>
        <v>12</v>
      </c>
      <c r="H69" s="62" t="s">
        <v>342</v>
      </c>
      <c r="L69" s="75" t="s">
        <v>342</v>
      </c>
      <c r="N69" s="105">
        <v>9805</v>
      </c>
    </row>
    <row r="70" spans="3:14" ht="15.75" x14ac:dyDescent="0.25">
      <c r="C70" s="6">
        <f t="shared" si="0"/>
        <v>981112</v>
      </c>
      <c r="D70" s="111">
        <v>1</v>
      </c>
      <c r="E70" s="109" t="s">
        <v>301</v>
      </c>
      <c r="F70" s="1" t="s">
        <v>0</v>
      </c>
      <c r="G70" s="62">
        <f t="shared" si="1"/>
        <v>12</v>
      </c>
      <c r="H70" s="62" t="s">
        <v>343</v>
      </c>
      <c r="L70" s="75" t="s">
        <v>349</v>
      </c>
      <c r="N70" s="105">
        <v>9806</v>
      </c>
    </row>
    <row r="71" spans="3:14" ht="15.75" x14ac:dyDescent="0.25">
      <c r="C71" s="6">
        <f t="shared" si="0"/>
        <v>981212</v>
      </c>
      <c r="D71" s="111">
        <v>1</v>
      </c>
      <c r="E71" s="109" t="s">
        <v>302</v>
      </c>
      <c r="F71" s="1" t="s">
        <v>0</v>
      </c>
      <c r="G71" s="62">
        <f t="shared" si="1"/>
        <v>12</v>
      </c>
      <c r="H71" s="62" t="s">
        <v>344</v>
      </c>
      <c r="L71" s="75" t="s">
        <v>346</v>
      </c>
      <c r="N71" s="105">
        <v>9807</v>
      </c>
    </row>
    <row r="72" spans="3:14" ht="15.75" x14ac:dyDescent="0.25">
      <c r="C72" s="6">
        <f t="shared" si="0"/>
        <v>981312</v>
      </c>
      <c r="D72" s="111">
        <v>1</v>
      </c>
      <c r="E72" s="109" t="s">
        <v>303</v>
      </c>
      <c r="F72" s="1" t="s">
        <v>0</v>
      </c>
      <c r="G72" s="62">
        <f t="shared" si="1"/>
        <v>12</v>
      </c>
      <c r="H72" s="62" t="s">
        <v>345</v>
      </c>
      <c r="L72" s="75" t="s">
        <v>347</v>
      </c>
      <c r="N72" s="105">
        <v>9808</v>
      </c>
    </row>
    <row r="73" spans="3:14" ht="15.75" x14ac:dyDescent="0.25">
      <c r="C73" s="6">
        <f t="shared" si="0"/>
        <v>980712</v>
      </c>
      <c r="D73" s="111">
        <v>1</v>
      </c>
      <c r="E73" s="109" t="s">
        <v>304</v>
      </c>
      <c r="F73" s="1" t="s">
        <v>0</v>
      </c>
      <c r="G73" s="62">
        <f t="shared" si="1"/>
        <v>12</v>
      </c>
      <c r="H73" s="62" t="s">
        <v>346</v>
      </c>
      <c r="L73" s="75" t="s">
        <v>348</v>
      </c>
      <c r="N73" s="105">
        <v>9809</v>
      </c>
    </row>
    <row r="74" spans="3:14" ht="15.75" x14ac:dyDescent="0.25">
      <c r="C74" s="6">
        <f t="shared" si="0"/>
        <v>980812</v>
      </c>
      <c r="D74" s="111">
        <v>1</v>
      </c>
      <c r="E74" s="109" t="s">
        <v>305</v>
      </c>
      <c r="F74" s="1" t="s">
        <v>0</v>
      </c>
      <c r="G74" s="62">
        <f t="shared" si="1"/>
        <v>12</v>
      </c>
      <c r="H74" s="62" t="s">
        <v>347</v>
      </c>
      <c r="L74" s="75" t="s">
        <v>351</v>
      </c>
      <c r="N74" s="105">
        <v>9810</v>
      </c>
    </row>
    <row r="75" spans="3:14" ht="15.75" x14ac:dyDescent="0.25">
      <c r="C75" s="6">
        <f t="shared" si="0"/>
        <v>980912</v>
      </c>
      <c r="D75" s="111">
        <v>1</v>
      </c>
      <c r="E75" s="109" t="s">
        <v>306</v>
      </c>
      <c r="F75" s="1" t="s">
        <v>0</v>
      </c>
      <c r="G75" s="62">
        <f t="shared" si="1"/>
        <v>12</v>
      </c>
      <c r="H75" s="62" t="s">
        <v>348</v>
      </c>
      <c r="L75" s="75" t="s">
        <v>343</v>
      </c>
      <c r="N75" s="105">
        <v>9811</v>
      </c>
    </row>
    <row r="76" spans="3:14" ht="15.75" x14ac:dyDescent="0.25">
      <c r="C76" s="6">
        <f t="shared" si="0"/>
        <v>980310</v>
      </c>
      <c r="D76" s="111">
        <v>1</v>
      </c>
      <c r="E76" s="109" t="s">
        <v>307</v>
      </c>
      <c r="F76" s="1" t="s">
        <v>0</v>
      </c>
      <c r="G76" s="24">
        <v>10</v>
      </c>
      <c r="H76" s="62" t="s">
        <v>340</v>
      </c>
      <c r="L76" s="75" t="s">
        <v>344</v>
      </c>
      <c r="N76" s="105">
        <v>9812</v>
      </c>
    </row>
    <row r="77" spans="3:14" ht="15.75" x14ac:dyDescent="0.25">
      <c r="C77" s="6">
        <f t="shared" si="0"/>
        <v>980410</v>
      </c>
      <c r="D77" s="111">
        <v>1</v>
      </c>
      <c r="E77" s="109" t="s">
        <v>308</v>
      </c>
      <c r="F77" s="1" t="s">
        <v>0</v>
      </c>
      <c r="G77" s="62">
        <f t="shared" ref="G77:G84" si="2">G76</f>
        <v>10</v>
      </c>
      <c r="H77" s="62" t="s">
        <v>341</v>
      </c>
      <c r="L77" s="75" t="s">
        <v>345</v>
      </c>
      <c r="N77" s="105">
        <v>9813</v>
      </c>
    </row>
    <row r="78" spans="3:14" ht="15.75" x14ac:dyDescent="0.25">
      <c r="C78" s="6">
        <f t="shared" si="0"/>
        <v>980510</v>
      </c>
      <c r="D78" s="111">
        <v>1</v>
      </c>
      <c r="E78" s="109" t="s">
        <v>309</v>
      </c>
      <c r="F78" s="1" t="s">
        <v>0</v>
      </c>
      <c r="G78" s="62">
        <f t="shared" si="2"/>
        <v>10</v>
      </c>
      <c r="H78" s="62" t="s">
        <v>342</v>
      </c>
      <c r="L78" s="106" t="s">
        <v>350</v>
      </c>
      <c r="M78" s="19"/>
      <c r="N78" s="107">
        <v>9814</v>
      </c>
    </row>
    <row r="79" spans="3:14" ht="15.75" x14ac:dyDescent="0.25">
      <c r="C79" s="6">
        <f t="shared" si="0"/>
        <v>981110</v>
      </c>
      <c r="D79" s="111">
        <v>1</v>
      </c>
      <c r="E79" s="109" t="s">
        <v>310</v>
      </c>
      <c r="F79" s="1" t="s">
        <v>0</v>
      </c>
      <c r="G79" s="62">
        <f t="shared" si="2"/>
        <v>10</v>
      </c>
      <c r="H79" s="62" t="s">
        <v>343</v>
      </c>
    </row>
    <row r="80" spans="3:14" ht="15.75" x14ac:dyDescent="0.25">
      <c r="C80" s="6">
        <f t="shared" si="0"/>
        <v>981210</v>
      </c>
      <c r="D80" s="111">
        <v>1</v>
      </c>
      <c r="E80" s="109" t="s">
        <v>311</v>
      </c>
      <c r="F80" s="1" t="s">
        <v>0</v>
      </c>
      <c r="G80" s="62">
        <f t="shared" si="2"/>
        <v>10</v>
      </c>
      <c r="H80" s="62" t="s">
        <v>344</v>
      </c>
    </row>
    <row r="81" spans="3:8" ht="15.75" x14ac:dyDescent="0.25">
      <c r="C81" s="6">
        <f t="shared" si="0"/>
        <v>981310</v>
      </c>
      <c r="D81" s="111">
        <v>1</v>
      </c>
      <c r="E81" s="109" t="s">
        <v>312</v>
      </c>
      <c r="F81" s="1" t="s">
        <v>0</v>
      </c>
      <c r="G81" s="62">
        <f t="shared" si="2"/>
        <v>10</v>
      </c>
      <c r="H81" s="62" t="s">
        <v>345</v>
      </c>
    </row>
    <row r="82" spans="3:8" ht="15.75" x14ac:dyDescent="0.25">
      <c r="C82" s="6">
        <f t="shared" si="0"/>
        <v>980710</v>
      </c>
      <c r="D82" s="111">
        <v>1</v>
      </c>
      <c r="E82" s="109" t="s">
        <v>313</v>
      </c>
      <c r="F82" s="1" t="s">
        <v>0</v>
      </c>
      <c r="G82" s="62">
        <f t="shared" si="2"/>
        <v>10</v>
      </c>
      <c r="H82" s="62" t="s">
        <v>346</v>
      </c>
    </row>
    <row r="83" spans="3:8" ht="15.75" x14ac:dyDescent="0.25">
      <c r="C83" s="6">
        <f t="shared" si="0"/>
        <v>980810</v>
      </c>
      <c r="D83" s="111">
        <v>1</v>
      </c>
      <c r="E83" s="109" t="s">
        <v>314</v>
      </c>
      <c r="F83" s="1" t="s">
        <v>0</v>
      </c>
      <c r="G83" s="62">
        <f t="shared" si="2"/>
        <v>10</v>
      </c>
      <c r="H83" s="62" t="s">
        <v>347</v>
      </c>
    </row>
    <row r="84" spans="3:8" ht="15.75" x14ac:dyDescent="0.25">
      <c r="C84" s="6">
        <f t="shared" si="0"/>
        <v>980910</v>
      </c>
      <c r="D84" s="111">
        <v>1</v>
      </c>
      <c r="E84" s="109" t="s">
        <v>315</v>
      </c>
      <c r="F84" s="1" t="s">
        <v>0</v>
      </c>
      <c r="G84" s="62">
        <f t="shared" si="2"/>
        <v>10</v>
      </c>
      <c r="H84" s="62" t="s">
        <v>348</v>
      </c>
    </row>
    <row r="85" spans="3:8" ht="15.75" x14ac:dyDescent="0.25">
      <c r="C85" s="6">
        <f t="shared" si="0"/>
        <v>980308</v>
      </c>
      <c r="D85" s="111">
        <v>1</v>
      </c>
      <c r="E85" s="109" t="s">
        <v>316</v>
      </c>
      <c r="F85" s="1" t="s">
        <v>0</v>
      </c>
      <c r="G85" s="24">
        <v>8</v>
      </c>
      <c r="H85" s="62" t="s">
        <v>340</v>
      </c>
    </row>
    <row r="86" spans="3:8" ht="15.75" x14ac:dyDescent="0.25">
      <c r="C86" s="6">
        <f t="shared" si="0"/>
        <v>980408</v>
      </c>
      <c r="D86" s="111">
        <v>1</v>
      </c>
      <c r="E86" s="109" t="s">
        <v>317</v>
      </c>
      <c r="F86" s="1" t="s">
        <v>0</v>
      </c>
      <c r="G86" s="62">
        <f t="shared" ref="G86:G96" si="3">G85</f>
        <v>8</v>
      </c>
      <c r="H86" s="62" t="s">
        <v>341</v>
      </c>
    </row>
    <row r="87" spans="3:8" ht="15.75" x14ac:dyDescent="0.25">
      <c r="C87" s="6">
        <f t="shared" si="0"/>
        <v>980508</v>
      </c>
      <c r="D87" s="111">
        <v>1</v>
      </c>
      <c r="E87" s="109" t="s">
        <v>318</v>
      </c>
      <c r="F87" s="1" t="s">
        <v>0</v>
      </c>
      <c r="G87" s="62">
        <f t="shared" si="3"/>
        <v>8</v>
      </c>
      <c r="H87" s="62" t="s">
        <v>342</v>
      </c>
    </row>
    <row r="88" spans="3:8" ht="15.75" x14ac:dyDescent="0.25">
      <c r="C88" s="6">
        <f t="shared" si="0"/>
        <v>980608</v>
      </c>
      <c r="D88" s="111">
        <v>1</v>
      </c>
      <c r="E88" s="109" t="s">
        <v>319</v>
      </c>
      <c r="F88" s="1" t="s">
        <v>0</v>
      </c>
      <c r="G88" s="62">
        <f t="shared" si="3"/>
        <v>8</v>
      </c>
      <c r="H88" s="62" t="s">
        <v>349</v>
      </c>
    </row>
    <row r="89" spans="3:8" ht="15.75" x14ac:dyDescent="0.25">
      <c r="C89" s="6">
        <f t="shared" si="0"/>
        <v>981108</v>
      </c>
      <c r="D89" s="111">
        <v>1</v>
      </c>
      <c r="E89" s="109" t="s">
        <v>320</v>
      </c>
      <c r="F89" s="1" t="s">
        <v>0</v>
      </c>
      <c r="G89" s="62">
        <f t="shared" si="3"/>
        <v>8</v>
      </c>
      <c r="H89" s="62" t="s">
        <v>343</v>
      </c>
    </row>
    <row r="90" spans="3:8" ht="15.75" x14ac:dyDescent="0.25">
      <c r="C90" s="6">
        <f t="shared" si="0"/>
        <v>981208</v>
      </c>
      <c r="D90" s="111">
        <v>1</v>
      </c>
      <c r="E90" s="109" t="s">
        <v>321</v>
      </c>
      <c r="F90" s="1" t="s">
        <v>0</v>
      </c>
      <c r="G90" s="62">
        <f t="shared" si="3"/>
        <v>8</v>
      </c>
      <c r="H90" s="62" t="s">
        <v>344</v>
      </c>
    </row>
    <row r="91" spans="3:8" ht="15.75" x14ac:dyDescent="0.25">
      <c r="C91" s="6">
        <f t="shared" si="0"/>
        <v>981308</v>
      </c>
      <c r="D91" s="111">
        <v>1</v>
      </c>
      <c r="E91" s="109" t="s">
        <v>322</v>
      </c>
      <c r="F91" s="1" t="s">
        <v>0</v>
      </c>
      <c r="G91" s="62">
        <f t="shared" si="3"/>
        <v>8</v>
      </c>
      <c r="H91" s="62" t="s">
        <v>345</v>
      </c>
    </row>
    <row r="92" spans="3:8" ht="15.75" x14ac:dyDescent="0.25">
      <c r="C92" s="6">
        <f t="shared" si="0"/>
        <v>981408</v>
      </c>
      <c r="D92" s="111">
        <v>1</v>
      </c>
      <c r="E92" s="109" t="s">
        <v>323</v>
      </c>
      <c r="F92" s="1" t="s">
        <v>0</v>
      </c>
      <c r="G92" s="62">
        <f t="shared" si="3"/>
        <v>8</v>
      </c>
      <c r="H92" s="62" t="s">
        <v>350</v>
      </c>
    </row>
    <row r="93" spans="3:8" ht="15.75" x14ac:dyDescent="0.25">
      <c r="C93" s="6">
        <f t="shared" si="0"/>
        <v>980708</v>
      </c>
      <c r="D93" s="111">
        <v>1</v>
      </c>
      <c r="E93" s="109" t="s">
        <v>324</v>
      </c>
      <c r="F93" s="1" t="s">
        <v>0</v>
      </c>
      <c r="G93" s="62">
        <f t="shared" si="3"/>
        <v>8</v>
      </c>
      <c r="H93" s="62" t="s">
        <v>346</v>
      </c>
    </row>
    <row r="94" spans="3:8" ht="15.75" x14ac:dyDescent="0.25">
      <c r="C94" s="6">
        <f t="shared" si="0"/>
        <v>980808</v>
      </c>
      <c r="D94" s="111">
        <v>1</v>
      </c>
      <c r="E94" s="109" t="s">
        <v>325</v>
      </c>
      <c r="F94" s="1" t="s">
        <v>0</v>
      </c>
      <c r="G94" s="62">
        <f t="shared" si="3"/>
        <v>8</v>
      </c>
      <c r="H94" s="62" t="s">
        <v>347</v>
      </c>
    </row>
    <row r="95" spans="3:8" ht="15.75" x14ac:dyDescent="0.25">
      <c r="C95" s="6">
        <f t="shared" si="0"/>
        <v>980908</v>
      </c>
      <c r="D95" s="111">
        <v>1</v>
      </c>
      <c r="E95" s="109" t="s">
        <v>326</v>
      </c>
      <c r="F95" s="1" t="s">
        <v>0</v>
      </c>
      <c r="G95" s="62">
        <f t="shared" si="3"/>
        <v>8</v>
      </c>
      <c r="H95" s="62" t="s">
        <v>348</v>
      </c>
    </row>
    <row r="96" spans="3:8" ht="15.75" x14ac:dyDescent="0.25">
      <c r="C96" s="6">
        <f t="shared" si="0"/>
        <v>981008</v>
      </c>
      <c r="D96" s="111">
        <v>1</v>
      </c>
      <c r="E96" s="109" t="s">
        <v>327</v>
      </c>
      <c r="F96" s="1" t="s">
        <v>0</v>
      </c>
      <c r="G96" s="62">
        <f t="shared" si="3"/>
        <v>8</v>
      </c>
      <c r="H96" s="62" t="s">
        <v>351</v>
      </c>
    </row>
    <row r="97" spans="2:9" ht="15.75" x14ac:dyDescent="0.25">
      <c r="C97" s="6">
        <f t="shared" si="0"/>
        <v>980306</v>
      </c>
      <c r="D97" s="111">
        <v>1</v>
      </c>
      <c r="E97" s="109" t="s">
        <v>328</v>
      </c>
      <c r="F97" s="1" t="s">
        <v>0</v>
      </c>
      <c r="G97" s="24">
        <v>6</v>
      </c>
      <c r="H97" s="62" t="s">
        <v>340</v>
      </c>
    </row>
    <row r="98" spans="2:9" ht="15.75" x14ac:dyDescent="0.25">
      <c r="C98" s="6">
        <f t="shared" si="0"/>
        <v>980406</v>
      </c>
      <c r="D98" s="111">
        <v>1</v>
      </c>
      <c r="E98" s="109" t="s">
        <v>329</v>
      </c>
      <c r="F98" s="1" t="s">
        <v>0</v>
      </c>
      <c r="G98" s="62">
        <f t="shared" ref="G98:G108" si="4">G97</f>
        <v>6</v>
      </c>
      <c r="H98" s="62" t="s">
        <v>341</v>
      </c>
    </row>
    <row r="99" spans="2:9" ht="15.75" x14ac:dyDescent="0.25">
      <c r="C99" s="6">
        <f t="shared" si="0"/>
        <v>980506</v>
      </c>
      <c r="D99" s="111">
        <v>1</v>
      </c>
      <c r="E99" s="109" t="s">
        <v>330</v>
      </c>
      <c r="F99" s="1" t="s">
        <v>0</v>
      </c>
      <c r="G99" s="62">
        <f t="shared" si="4"/>
        <v>6</v>
      </c>
      <c r="H99" s="62" t="s">
        <v>342</v>
      </c>
    </row>
    <row r="100" spans="2:9" ht="15.75" x14ac:dyDescent="0.25">
      <c r="C100" s="6">
        <f t="shared" si="0"/>
        <v>980606</v>
      </c>
      <c r="D100" s="111">
        <v>1</v>
      </c>
      <c r="E100" s="109" t="s">
        <v>331</v>
      </c>
      <c r="F100" s="1" t="s">
        <v>0</v>
      </c>
      <c r="G100" s="62">
        <f t="shared" si="4"/>
        <v>6</v>
      </c>
      <c r="H100" s="62" t="s">
        <v>349</v>
      </c>
    </row>
    <row r="101" spans="2:9" ht="15.75" x14ac:dyDescent="0.25">
      <c r="C101" s="6">
        <f t="shared" si="0"/>
        <v>981106</v>
      </c>
      <c r="D101" s="111">
        <v>1</v>
      </c>
      <c r="E101" s="109" t="s">
        <v>332</v>
      </c>
      <c r="F101" s="1" t="s">
        <v>0</v>
      </c>
      <c r="G101" s="62">
        <f t="shared" si="4"/>
        <v>6</v>
      </c>
      <c r="H101" s="62" t="s">
        <v>343</v>
      </c>
    </row>
    <row r="102" spans="2:9" ht="15.75" x14ac:dyDescent="0.25">
      <c r="C102" s="6">
        <f t="shared" si="0"/>
        <v>981206</v>
      </c>
      <c r="D102" s="111">
        <v>1</v>
      </c>
      <c r="E102" s="109" t="s">
        <v>333</v>
      </c>
      <c r="F102" s="1" t="s">
        <v>0</v>
      </c>
      <c r="G102" s="62">
        <f t="shared" si="4"/>
        <v>6</v>
      </c>
      <c r="H102" s="62" t="s">
        <v>344</v>
      </c>
    </row>
    <row r="103" spans="2:9" ht="15.75" x14ac:dyDescent="0.25">
      <c r="C103" s="6">
        <f t="shared" si="0"/>
        <v>981306</v>
      </c>
      <c r="D103" s="111">
        <v>1</v>
      </c>
      <c r="E103" s="109" t="s">
        <v>334</v>
      </c>
      <c r="F103" s="1" t="s">
        <v>0</v>
      </c>
      <c r="G103" s="62">
        <f t="shared" si="4"/>
        <v>6</v>
      </c>
      <c r="H103" s="62" t="s">
        <v>345</v>
      </c>
    </row>
    <row r="104" spans="2:9" ht="15.75" x14ac:dyDescent="0.25">
      <c r="C104" s="6">
        <f t="shared" si="0"/>
        <v>981406</v>
      </c>
      <c r="D104" s="111">
        <v>1</v>
      </c>
      <c r="E104" s="109" t="s">
        <v>335</v>
      </c>
      <c r="F104" s="1" t="s">
        <v>0</v>
      </c>
      <c r="G104" s="62">
        <f t="shared" si="4"/>
        <v>6</v>
      </c>
      <c r="H104" s="62" t="s">
        <v>350</v>
      </c>
    </row>
    <row r="105" spans="2:9" ht="15.75" x14ac:dyDescent="0.25">
      <c r="C105" s="6">
        <f t="shared" si="0"/>
        <v>980706</v>
      </c>
      <c r="D105" s="111">
        <v>1</v>
      </c>
      <c r="E105" s="109" t="s">
        <v>336</v>
      </c>
      <c r="F105" s="1" t="s">
        <v>0</v>
      </c>
      <c r="G105" s="62">
        <f t="shared" si="4"/>
        <v>6</v>
      </c>
      <c r="H105" s="62" t="s">
        <v>346</v>
      </c>
    </row>
    <row r="106" spans="2:9" ht="15.75" x14ac:dyDescent="0.25">
      <c r="C106" s="6">
        <f t="shared" si="0"/>
        <v>980806</v>
      </c>
      <c r="D106" s="111">
        <v>1</v>
      </c>
      <c r="E106" s="109" t="s">
        <v>337</v>
      </c>
      <c r="F106" s="1" t="s">
        <v>0</v>
      </c>
      <c r="G106" s="62">
        <f t="shared" si="4"/>
        <v>6</v>
      </c>
      <c r="H106" s="62" t="s">
        <v>347</v>
      </c>
    </row>
    <row r="107" spans="2:9" ht="15.75" x14ac:dyDescent="0.25">
      <c r="C107" s="6">
        <f t="shared" si="0"/>
        <v>980906</v>
      </c>
      <c r="D107" s="111">
        <v>1</v>
      </c>
      <c r="E107" s="109" t="s">
        <v>338</v>
      </c>
      <c r="F107" s="1" t="s">
        <v>0</v>
      </c>
      <c r="G107" s="62">
        <f t="shared" si="4"/>
        <v>6</v>
      </c>
      <c r="H107" s="62" t="s">
        <v>348</v>
      </c>
    </row>
    <row r="108" spans="2:9" ht="15.75" x14ac:dyDescent="0.25">
      <c r="C108" s="113">
        <f t="shared" si="0"/>
        <v>981006</v>
      </c>
      <c r="D108" s="112">
        <v>1</v>
      </c>
      <c r="E108" s="110" t="s">
        <v>339</v>
      </c>
      <c r="F108" s="22" t="s">
        <v>0</v>
      </c>
      <c r="G108" s="114">
        <f t="shared" si="4"/>
        <v>6</v>
      </c>
      <c r="H108" s="114" t="s">
        <v>351</v>
      </c>
      <c r="I108" s="19"/>
    </row>
    <row r="109" spans="2:9" ht="15.75" x14ac:dyDescent="0.25">
      <c r="C109" s="115" t="s">
        <v>353</v>
      </c>
      <c r="D109" s="116">
        <v>0</v>
      </c>
      <c r="E109" s="117" t="s">
        <v>354</v>
      </c>
      <c r="F109" s="1" t="s">
        <v>0</v>
      </c>
    </row>
    <row r="110" spans="2:9" x14ac:dyDescent="0.25">
      <c r="B110" t="s">
        <v>50</v>
      </c>
    </row>
  </sheetData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332"/>
  <sheetViews>
    <sheetView zoomScale="90" zoomScaleNormal="90" workbookViewId="0">
      <selection activeCell="E4" sqref="E4"/>
    </sheetView>
  </sheetViews>
  <sheetFormatPr defaultRowHeight="15" x14ac:dyDescent="0.25"/>
  <cols>
    <col min="1" max="1" width="3.7109375" customWidth="1"/>
    <col min="2" max="2" width="5.7109375" customWidth="1"/>
    <col min="3" max="3" width="10" style="1" customWidth="1"/>
    <col min="4" max="4" width="9.140625" customWidth="1"/>
    <col min="5" max="5" width="30" customWidth="1"/>
    <col min="9" max="9" width="14" customWidth="1"/>
    <col min="13" max="13" width="6.5703125" customWidth="1"/>
    <col min="14" max="14" width="8.42578125" customWidth="1"/>
    <col min="15" max="16" width="8.85546875" customWidth="1"/>
    <col min="17" max="17" width="15.42578125" customWidth="1"/>
    <col min="18" max="18" width="10.140625" bestFit="1" customWidth="1"/>
    <col min="19" max="19" width="14.85546875" customWidth="1"/>
    <col min="20" max="20" width="17.5703125" customWidth="1"/>
    <col min="21" max="24" width="10.140625" bestFit="1" customWidth="1"/>
    <col min="25" max="25" width="14.140625" bestFit="1" customWidth="1"/>
    <col min="26" max="26" width="3.28515625" customWidth="1"/>
    <col min="27" max="27" width="27.140625" customWidth="1"/>
    <col min="28" max="28" width="39.140625" customWidth="1"/>
  </cols>
  <sheetData>
    <row r="1" spans="1:6" x14ac:dyDescent="0.25">
      <c r="A1" t="s">
        <v>0</v>
      </c>
      <c r="B1" t="s">
        <v>1</v>
      </c>
    </row>
    <row r="2" spans="1:6" x14ac:dyDescent="0.25">
      <c r="A2" t="s">
        <v>0</v>
      </c>
      <c r="B2" t="s">
        <v>2</v>
      </c>
    </row>
    <row r="3" spans="1:6" x14ac:dyDescent="0.25">
      <c r="A3" t="s">
        <v>0</v>
      </c>
      <c r="B3" t="s">
        <v>3</v>
      </c>
      <c r="E3" t="s">
        <v>1156</v>
      </c>
    </row>
    <row r="4" spans="1:6" x14ac:dyDescent="0.25">
      <c r="A4" t="s">
        <v>0</v>
      </c>
    </row>
    <row r="5" spans="1:6" x14ac:dyDescent="0.25">
      <c r="A5" t="s">
        <v>0</v>
      </c>
      <c r="B5" t="s">
        <v>24</v>
      </c>
    </row>
    <row r="6" spans="1:6" x14ac:dyDescent="0.25">
      <c r="A6" t="s">
        <v>0</v>
      </c>
      <c r="D6" s="10">
        <v>1</v>
      </c>
      <c r="E6" t="s">
        <v>25</v>
      </c>
    </row>
    <row r="7" spans="1:6" x14ac:dyDescent="0.25">
      <c r="A7" t="s">
        <v>0</v>
      </c>
      <c r="F7" t="s">
        <v>26</v>
      </c>
    </row>
    <row r="8" spans="1:6" x14ac:dyDescent="0.25">
      <c r="A8" t="s">
        <v>0</v>
      </c>
      <c r="F8" t="s">
        <v>27</v>
      </c>
    </row>
    <row r="9" spans="1:6" x14ac:dyDescent="0.25">
      <c r="A9" t="s">
        <v>0</v>
      </c>
      <c r="F9" t="s">
        <v>28</v>
      </c>
    </row>
    <row r="10" spans="1:6" x14ac:dyDescent="0.25">
      <c r="A10" t="s">
        <v>0</v>
      </c>
      <c r="D10" s="14">
        <v>2</v>
      </c>
      <c r="E10" s="24" t="s">
        <v>168</v>
      </c>
    </row>
    <row r="11" spans="1:6" x14ac:dyDescent="0.25">
      <c r="A11" t="s">
        <v>0</v>
      </c>
    </row>
    <row r="12" spans="1:6" x14ac:dyDescent="0.25">
      <c r="A12" t="s">
        <v>0</v>
      </c>
    </row>
    <row r="13" spans="1:6" x14ac:dyDescent="0.25">
      <c r="A13" t="s">
        <v>0</v>
      </c>
      <c r="B13" t="s">
        <v>29</v>
      </c>
    </row>
    <row r="14" spans="1:6" x14ac:dyDescent="0.25">
      <c r="A14" t="s">
        <v>0</v>
      </c>
      <c r="D14" s="11">
        <v>0</v>
      </c>
      <c r="E14" t="s">
        <v>169</v>
      </c>
    </row>
    <row r="15" spans="1:6" x14ac:dyDescent="0.25">
      <c r="A15" t="s">
        <v>0</v>
      </c>
    </row>
    <row r="16" spans="1:6" x14ac:dyDescent="0.25">
      <c r="A16" t="s">
        <v>0</v>
      </c>
      <c r="B16" t="s">
        <v>4</v>
      </c>
      <c r="E16" t="s">
        <v>5</v>
      </c>
    </row>
    <row r="17" spans="1:5" x14ac:dyDescent="0.25">
      <c r="A17" t="s">
        <v>0</v>
      </c>
      <c r="E17" t="s">
        <v>135</v>
      </c>
    </row>
    <row r="18" spans="1:5" x14ac:dyDescent="0.25">
      <c r="A18" t="s">
        <v>0</v>
      </c>
      <c r="E18" t="s">
        <v>153</v>
      </c>
    </row>
    <row r="19" spans="1:5" x14ac:dyDescent="0.25">
      <c r="A19" t="s">
        <v>0</v>
      </c>
      <c r="E19" t="s">
        <v>172</v>
      </c>
    </row>
    <row r="20" spans="1:5" x14ac:dyDescent="0.25">
      <c r="A20" t="s">
        <v>0</v>
      </c>
      <c r="E20" t="s">
        <v>220</v>
      </c>
    </row>
    <row r="21" spans="1:5" x14ac:dyDescent="0.25">
      <c r="A21" t="s">
        <v>0</v>
      </c>
      <c r="E21" t="s">
        <v>223</v>
      </c>
    </row>
    <row r="22" spans="1:5" x14ac:dyDescent="0.25">
      <c r="A22" t="s">
        <v>0</v>
      </c>
      <c r="E22" t="s">
        <v>224</v>
      </c>
    </row>
    <row r="23" spans="1:5" x14ac:dyDescent="0.25">
      <c r="A23" t="s">
        <v>0</v>
      </c>
      <c r="E23" t="s">
        <v>242</v>
      </c>
    </row>
    <row r="24" spans="1:5" x14ac:dyDescent="0.25">
      <c r="A24" t="s">
        <v>0</v>
      </c>
      <c r="E24" t="s">
        <v>248</v>
      </c>
    </row>
    <row r="25" spans="1:5" x14ac:dyDescent="0.25">
      <c r="A25" t="s">
        <v>0</v>
      </c>
      <c r="E25" t="s">
        <v>254</v>
      </c>
    </row>
    <row r="26" spans="1:5" x14ac:dyDescent="0.25">
      <c r="A26" t="s">
        <v>0</v>
      </c>
      <c r="E26" t="s">
        <v>370</v>
      </c>
    </row>
    <row r="27" spans="1:5" x14ac:dyDescent="0.25">
      <c r="A27" t="s">
        <v>0</v>
      </c>
      <c r="E27" t="s">
        <v>436</v>
      </c>
    </row>
    <row r="28" spans="1:5" x14ac:dyDescent="0.25">
      <c r="A28" t="s">
        <v>0</v>
      </c>
      <c r="E28" t="s">
        <v>509</v>
      </c>
    </row>
    <row r="29" spans="1:5" x14ac:dyDescent="0.25">
      <c r="A29" t="s">
        <v>0</v>
      </c>
      <c r="E29" t="s">
        <v>513</v>
      </c>
    </row>
    <row r="30" spans="1:5" x14ac:dyDescent="0.25">
      <c r="A30" t="s">
        <v>0</v>
      </c>
      <c r="E30" t="s">
        <v>538</v>
      </c>
    </row>
    <row r="31" spans="1:5" x14ac:dyDescent="0.25">
      <c r="A31" t="s">
        <v>0</v>
      </c>
      <c r="E31" t="s">
        <v>548</v>
      </c>
    </row>
    <row r="32" spans="1:5" x14ac:dyDescent="0.25">
      <c r="A32" t="s">
        <v>0</v>
      </c>
      <c r="E32" t="s">
        <v>553</v>
      </c>
    </row>
    <row r="33" spans="1:5" x14ac:dyDescent="0.25">
      <c r="A33" t="s">
        <v>0</v>
      </c>
      <c r="E33" t="s">
        <v>637</v>
      </c>
    </row>
    <row r="34" spans="1:5" x14ac:dyDescent="0.25">
      <c r="A34" t="s">
        <v>0</v>
      </c>
      <c r="E34" t="s">
        <v>670</v>
      </c>
    </row>
    <row r="35" spans="1:5" x14ac:dyDescent="0.25">
      <c r="A35" t="s">
        <v>0</v>
      </c>
      <c r="E35" t="s">
        <v>672</v>
      </c>
    </row>
    <row r="36" spans="1:5" x14ac:dyDescent="0.25">
      <c r="A36" t="s">
        <v>0</v>
      </c>
      <c r="E36" t="s">
        <v>708</v>
      </c>
    </row>
    <row r="37" spans="1:5" x14ac:dyDescent="0.25">
      <c r="A37" t="s">
        <v>0</v>
      </c>
      <c r="E37" t="s">
        <v>717</v>
      </c>
    </row>
    <row r="38" spans="1:5" x14ac:dyDescent="0.25">
      <c r="A38" t="s">
        <v>0</v>
      </c>
      <c r="E38" t="s">
        <v>727</v>
      </c>
    </row>
    <row r="39" spans="1:5" x14ac:dyDescent="0.25">
      <c r="A39" t="s">
        <v>0</v>
      </c>
      <c r="E39" t="s">
        <v>744</v>
      </c>
    </row>
    <row r="40" spans="1:5" x14ac:dyDescent="0.25">
      <c r="A40" t="s">
        <v>0</v>
      </c>
      <c r="E40" t="s">
        <v>756</v>
      </c>
    </row>
    <row r="41" spans="1:5" x14ac:dyDescent="0.25">
      <c r="A41" t="s">
        <v>0</v>
      </c>
      <c r="E41" t="s">
        <v>759</v>
      </c>
    </row>
    <row r="42" spans="1:5" x14ac:dyDescent="0.25">
      <c r="A42" t="s">
        <v>0</v>
      </c>
      <c r="E42" t="s">
        <v>763</v>
      </c>
    </row>
    <row r="43" spans="1:5" x14ac:dyDescent="0.25">
      <c r="A43" t="s">
        <v>0</v>
      </c>
      <c r="E43" t="s">
        <v>765</v>
      </c>
    </row>
    <row r="44" spans="1:5" x14ac:dyDescent="0.25">
      <c r="A44" t="s">
        <v>0</v>
      </c>
      <c r="E44" t="s">
        <v>767</v>
      </c>
    </row>
    <row r="45" spans="1:5" x14ac:dyDescent="0.25">
      <c r="A45" t="s">
        <v>0</v>
      </c>
      <c r="E45" t="s">
        <v>800</v>
      </c>
    </row>
    <row r="46" spans="1:5" x14ac:dyDescent="0.25">
      <c r="A46" t="s">
        <v>0</v>
      </c>
      <c r="E46" t="s">
        <v>1062</v>
      </c>
    </row>
    <row r="47" spans="1:5" x14ac:dyDescent="0.25">
      <c r="A47" t="s">
        <v>0</v>
      </c>
      <c r="E47" t="s">
        <v>1152</v>
      </c>
    </row>
    <row r="48" spans="1:5" x14ac:dyDescent="0.25">
      <c r="A48" t="s">
        <v>0</v>
      </c>
      <c r="E48" t="s">
        <v>1158</v>
      </c>
    </row>
    <row r="49" spans="1:11" x14ac:dyDescent="0.25">
      <c r="A49" t="s">
        <v>0</v>
      </c>
    </row>
    <row r="50" spans="1:11" x14ac:dyDescent="0.25">
      <c r="A50" t="s">
        <v>0</v>
      </c>
      <c r="B50" t="s">
        <v>6</v>
      </c>
    </row>
    <row r="51" spans="1:11" x14ac:dyDescent="0.25">
      <c r="A51" t="s">
        <v>0</v>
      </c>
      <c r="D51" s="1">
        <v>1</v>
      </c>
      <c r="E51" t="s">
        <v>437</v>
      </c>
    </row>
    <row r="52" spans="1:11" x14ac:dyDescent="0.25">
      <c r="A52" t="s">
        <v>0</v>
      </c>
      <c r="D52" s="1">
        <v>2</v>
      </c>
      <c r="E52" t="s">
        <v>162</v>
      </c>
      <c r="G52" s="1">
        <v>2014</v>
      </c>
      <c r="H52" s="1"/>
      <c r="I52" s="1"/>
      <c r="J52" s="1"/>
      <c r="K52" t="s">
        <v>163</v>
      </c>
    </row>
    <row r="53" spans="1:11" x14ac:dyDescent="0.25">
      <c r="A53" t="s">
        <v>0</v>
      </c>
      <c r="D53" s="1"/>
      <c r="G53" s="1">
        <v>2015</v>
      </c>
      <c r="H53" s="1"/>
      <c r="I53" s="1"/>
      <c r="J53" s="1"/>
      <c r="K53" t="s">
        <v>164</v>
      </c>
    </row>
    <row r="54" spans="1:11" x14ac:dyDescent="0.25">
      <c r="A54" t="s">
        <v>0</v>
      </c>
      <c r="D54" s="1">
        <v>3</v>
      </c>
      <c r="E54" t="s">
        <v>165</v>
      </c>
    </row>
    <row r="55" spans="1:11" x14ac:dyDescent="0.25">
      <c r="A55" t="s">
        <v>0</v>
      </c>
      <c r="D55" s="1"/>
    </row>
    <row r="56" spans="1:11" x14ac:dyDescent="0.25">
      <c r="A56" t="s">
        <v>0</v>
      </c>
      <c r="B56" t="s">
        <v>7</v>
      </c>
      <c r="D56" s="1"/>
    </row>
    <row r="57" spans="1:11" x14ac:dyDescent="0.25">
      <c r="A57" t="s">
        <v>0</v>
      </c>
      <c r="D57" s="1">
        <v>1</v>
      </c>
      <c r="E57" t="s">
        <v>166</v>
      </c>
    </row>
    <row r="58" spans="1:11" x14ac:dyDescent="0.25">
      <c r="A58" t="s">
        <v>0</v>
      </c>
      <c r="D58" s="1">
        <v>2</v>
      </c>
      <c r="E58" t="s">
        <v>167</v>
      </c>
    </row>
    <row r="59" spans="1:11" x14ac:dyDescent="0.25">
      <c r="A59" t="s">
        <v>0</v>
      </c>
      <c r="D59" s="1">
        <v>3</v>
      </c>
      <c r="E59" t="s">
        <v>745</v>
      </c>
    </row>
    <row r="60" spans="1:11" x14ac:dyDescent="0.25">
      <c r="A60" t="s">
        <v>0</v>
      </c>
      <c r="D60" s="1">
        <v>4</v>
      </c>
      <c r="E60" t="s">
        <v>757</v>
      </c>
    </row>
    <row r="61" spans="1:11" x14ac:dyDescent="0.25">
      <c r="A61" t="s">
        <v>0</v>
      </c>
      <c r="D61" s="1">
        <v>5</v>
      </c>
      <c r="E61" t="s">
        <v>673</v>
      </c>
    </row>
    <row r="62" spans="1:11" x14ac:dyDescent="0.25">
      <c r="A62" t="s">
        <v>0</v>
      </c>
      <c r="D62" s="1">
        <v>6</v>
      </c>
      <c r="E62" t="s">
        <v>158</v>
      </c>
    </row>
    <row r="63" spans="1:11" x14ac:dyDescent="0.25">
      <c r="A63" t="s">
        <v>0</v>
      </c>
      <c r="D63" s="1">
        <v>7</v>
      </c>
      <c r="E63" t="s">
        <v>159</v>
      </c>
    </row>
    <row r="64" spans="1:11" x14ac:dyDescent="0.25">
      <c r="A64" t="s">
        <v>0</v>
      </c>
      <c r="D64" s="1">
        <v>8</v>
      </c>
      <c r="E64" t="s">
        <v>171</v>
      </c>
    </row>
    <row r="65" spans="1:25" x14ac:dyDescent="0.25">
      <c r="A65" t="s">
        <v>0</v>
      </c>
      <c r="D65" s="1">
        <v>9</v>
      </c>
      <c r="E65" t="s">
        <v>160</v>
      </c>
    </row>
    <row r="66" spans="1:25" x14ac:dyDescent="0.25">
      <c r="A66" t="s">
        <v>0</v>
      </c>
      <c r="D66" s="1">
        <v>10</v>
      </c>
      <c r="E66" t="s">
        <v>161</v>
      </c>
    </row>
    <row r="67" spans="1:25" x14ac:dyDescent="0.25">
      <c r="A67" t="s">
        <v>0</v>
      </c>
      <c r="D67" s="1">
        <v>11</v>
      </c>
      <c r="E67" t="s">
        <v>365</v>
      </c>
    </row>
    <row r="68" spans="1:25" x14ac:dyDescent="0.25">
      <c r="A68" t="s">
        <v>0</v>
      </c>
      <c r="D68" s="1">
        <v>12</v>
      </c>
      <c r="E68" t="s">
        <v>222</v>
      </c>
    </row>
    <row r="69" spans="1:25" x14ac:dyDescent="0.25">
      <c r="A69" t="s">
        <v>0</v>
      </c>
      <c r="D69" s="1">
        <v>13</v>
      </c>
      <c r="E69" t="s">
        <v>362</v>
      </c>
    </row>
    <row r="70" spans="1:25" x14ac:dyDescent="0.25">
      <c r="A70" t="s">
        <v>0</v>
      </c>
      <c r="D70" s="1">
        <v>14</v>
      </c>
      <c r="E70" t="s">
        <v>228</v>
      </c>
    </row>
    <row r="71" spans="1:25" x14ac:dyDescent="0.25">
      <c r="A71" t="s">
        <v>0</v>
      </c>
      <c r="D71" s="1">
        <v>15</v>
      </c>
      <c r="E71" t="s">
        <v>229</v>
      </c>
    </row>
    <row r="72" spans="1:25" x14ac:dyDescent="0.25">
      <c r="A72" t="s">
        <v>0</v>
      </c>
      <c r="D72" s="1">
        <v>16</v>
      </c>
      <c r="E72" t="s">
        <v>252</v>
      </c>
    </row>
    <row r="73" spans="1:25" x14ac:dyDescent="0.25">
      <c r="A73" t="s">
        <v>0</v>
      </c>
      <c r="D73" s="1">
        <v>17</v>
      </c>
      <c r="E73" t="s">
        <v>253</v>
      </c>
    </row>
    <row r="74" spans="1:25" x14ac:dyDescent="0.25">
      <c r="A74" t="s">
        <v>0</v>
      </c>
      <c r="D74" s="1">
        <v>18</v>
      </c>
      <c r="E74" t="s">
        <v>746</v>
      </c>
    </row>
    <row r="75" spans="1:25" x14ac:dyDescent="0.25">
      <c r="A75" t="s">
        <v>0</v>
      </c>
      <c r="D75" s="1">
        <v>19</v>
      </c>
      <c r="E75" t="s">
        <v>676</v>
      </c>
    </row>
    <row r="76" spans="1:25" x14ac:dyDescent="0.25">
      <c r="A76" t="s">
        <v>0</v>
      </c>
      <c r="D76" s="1">
        <v>20</v>
      </c>
      <c r="E76" t="s">
        <v>669</v>
      </c>
    </row>
    <row r="77" spans="1:25" x14ac:dyDescent="0.25">
      <c r="A77" t="s">
        <v>0</v>
      </c>
      <c r="D77" s="1"/>
    </row>
    <row r="78" spans="1:25" x14ac:dyDescent="0.25">
      <c r="A78" t="s">
        <v>0</v>
      </c>
      <c r="D78" s="1"/>
      <c r="F78" s="6">
        <v>1</v>
      </c>
      <c r="G78" s="6">
        <f>F78+1</f>
        <v>2</v>
      </c>
      <c r="H78" s="6">
        <f>G78+1</f>
        <v>3</v>
      </c>
      <c r="I78" s="6">
        <f>H78+1</f>
        <v>4</v>
      </c>
      <c r="J78" s="6">
        <f>I78+1</f>
        <v>5</v>
      </c>
      <c r="K78" s="6">
        <f>J78+1</f>
        <v>6</v>
      </c>
      <c r="L78" s="6">
        <f t="shared" ref="L78" si="0">K78+1</f>
        <v>7</v>
      </c>
      <c r="M78" s="6">
        <f t="shared" ref="M78" si="1">L78+1</f>
        <v>8</v>
      </c>
      <c r="N78" s="6">
        <f t="shared" ref="N78" si="2">M78+1</f>
        <v>9</v>
      </c>
      <c r="O78" s="6">
        <f t="shared" ref="O78" si="3">N78+1</f>
        <v>10</v>
      </c>
      <c r="P78" s="6">
        <f t="shared" ref="P78" si="4">O78+1</f>
        <v>11</v>
      </c>
      <c r="Q78" s="6">
        <f t="shared" ref="Q78" si="5">P78+1</f>
        <v>12</v>
      </c>
      <c r="R78" s="6">
        <f t="shared" ref="R78" si="6">Q78+1</f>
        <v>13</v>
      </c>
      <c r="S78" s="6">
        <f t="shared" ref="S78" si="7">R78+1</f>
        <v>14</v>
      </c>
      <c r="T78" s="6">
        <f t="shared" ref="T78:Y78" si="8">S78+1</f>
        <v>15</v>
      </c>
      <c r="U78" s="6">
        <f t="shared" si="8"/>
        <v>16</v>
      </c>
      <c r="V78" s="6">
        <f t="shared" si="8"/>
        <v>17</v>
      </c>
      <c r="W78" s="6">
        <f t="shared" ref="W78" si="9">V78+1</f>
        <v>18</v>
      </c>
      <c r="X78" s="6">
        <f t="shared" ref="X78" si="10">W78+1</f>
        <v>19</v>
      </c>
      <c r="Y78" s="6">
        <f t="shared" si="8"/>
        <v>20</v>
      </c>
    </row>
    <row r="79" spans="1:25" x14ac:dyDescent="0.25">
      <c r="A79" t="s">
        <v>0</v>
      </c>
      <c r="F79" s="16" t="s">
        <v>23</v>
      </c>
      <c r="G79" s="1" t="s">
        <v>22</v>
      </c>
      <c r="H79" s="1" t="s">
        <v>22</v>
      </c>
      <c r="I79" s="1" t="s">
        <v>22</v>
      </c>
      <c r="J79" s="1" t="s">
        <v>22</v>
      </c>
    </row>
    <row r="80" spans="1:25" x14ac:dyDescent="0.25">
      <c r="B80" s="27" t="s">
        <v>546</v>
      </c>
      <c r="C80" s="150"/>
      <c r="E80" s="2"/>
      <c r="F80" s="16"/>
      <c r="G80" s="1"/>
      <c r="H80" s="1"/>
      <c r="I80" s="1"/>
      <c r="J80" s="1"/>
      <c r="K80" s="1"/>
      <c r="U80" s="1"/>
      <c r="V80" s="1"/>
      <c r="W80" s="1"/>
      <c r="X80" s="1"/>
      <c r="Y80" s="1"/>
    </row>
    <row r="81" spans="3:29" x14ac:dyDescent="0.25">
      <c r="C81" s="4" t="s">
        <v>433</v>
      </c>
      <c r="D81" s="4" t="s">
        <v>139</v>
      </c>
      <c r="E81" s="56" t="s">
        <v>140</v>
      </c>
      <c r="F81" s="16" t="s">
        <v>10</v>
      </c>
      <c r="G81" s="4" t="s">
        <v>11</v>
      </c>
      <c r="H81" s="4" t="s">
        <v>747</v>
      </c>
      <c r="I81" s="4" t="s">
        <v>758</v>
      </c>
      <c r="J81" s="4" t="s">
        <v>674</v>
      </c>
      <c r="K81" s="17" t="s">
        <v>151</v>
      </c>
      <c r="L81" s="4" t="s">
        <v>152</v>
      </c>
      <c r="M81" s="4" t="s">
        <v>170</v>
      </c>
      <c r="N81" s="4" t="s">
        <v>149</v>
      </c>
      <c r="O81" s="4" t="s">
        <v>150</v>
      </c>
      <c r="P81" s="4" t="s">
        <v>364</v>
      </c>
      <c r="Q81" s="95" t="s">
        <v>221</v>
      </c>
      <c r="R81" s="17" t="s">
        <v>361</v>
      </c>
      <c r="S81" s="73" t="s">
        <v>225</v>
      </c>
      <c r="T81" s="25" t="s">
        <v>226</v>
      </c>
      <c r="U81" s="17" t="s">
        <v>250</v>
      </c>
      <c r="V81" s="4" t="s">
        <v>251</v>
      </c>
      <c r="W81" s="4" t="s">
        <v>749</v>
      </c>
      <c r="X81" s="4" t="s">
        <v>677</v>
      </c>
      <c r="Y81" s="4" t="s">
        <v>668</v>
      </c>
      <c r="Z81" s="61"/>
    </row>
    <row r="82" spans="3:29" x14ac:dyDescent="0.25">
      <c r="C82" s="60">
        <v>2013</v>
      </c>
      <c r="D82" s="60">
        <v>2014</v>
      </c>
      <c r="E82" t="s">
        <v>141</v>
      </c>
      <c r="F82" s="69">
        <v>78</v>
      </c>
      <c r="G82" s="66" t="s">
        <v>155</v>
      </c>
      <c r="H82" s="66" t="s">
        <v>189</v>
      </c>
      <c r="I82" s="66" t="s">
        <v>189</v>
      </c>
      <c r="J82" s="66" t="s">
        <v>188</v>
      </c>
      <c r="K82" s="16">
        <v>1</v>
      </c>
      <c r="L82" s="1">
        <v>1</v>
      </c>
      <c r="M82" s="48">
        <v>0</v>
      </c>
      <c r="N82" s="1">
        <v>0</v>
      </c>
      <c r="O82" s="1">
        <v>1</v>
      </c>
      <c r="P82" s="1">
        <v>0</v>
      </c>
      <c r="Q82" s="80">
        <v>-1</v>
      </c>
      <c r="R82" s="92">
        <v>0</v>
      </c>
      <c r="S82" s="43" t="s">
        <v>141</v>
      </c>
      <c r="T82" s="24" t="s">
        <v>227</v>
      </c>
      <c r="U82" s="101">
        <f t="shared" ref="U82:U101" si="11">IF(AND(ISNUMBER(F82), F82&gt;0), 1, 0)</f>
        <v>1</v>
      </c>
      <c r="V82" s="48">
        <f t="shared" ref="V82:V102" si="12">IF(AND(ISNUMBER(G82), G82&gt;0), 1, 0)</f>
        <v>0</v>
      </c>
      <c r="W82" s="48">
        <f t="shared" ref="W82:W103" si="13">IF(AND(ISNUMBER(H82), H82&gt;0), 1, 0)</f>
        <v>0</v>
      </c>
      <c r="X82" s="48">
        <f t="shared" ref="X82:X101" si="14">IF(AND(ISNUMBER(J82), J82&gt;0), 1, 0)</f>
        <v>0</v>
      </c>
      <c r="Y82" s="61">
        <v>-1</v>
      </c>
      <c r="Z82" s="61" t="s">
        <v>0</v>
      </c>
      <c r="AA82" t="s">
        <v>13</v>
      </c>
    </row>
    <row r="83" spans="3:29" x14ac:dyDescent="0.25">
      <c r="C83" s="61">
        <f>C82</f>
        <v>2013</v>
      </c>
      <c r="D83" s="6">
        <v>2014</v>
      </c>
      <c r="E83" t="s">
        <v>385</v>
      </c>
      <c r="F83" s="51">
        <v>75</v>
      </c>
      <c r="G83" s="66" t="s">
        <v>155</v>
      </c>
      <c r="H83" s="66" t="s">
        <v>189</v>
      </c>
      <c r="I83" s="66" t="s">
        <v>189</v>
      </c>
      <c r="J83" s="66" t="s">
        <v>188</v>
      </c>
      <c r="K83" s="16">
        <v>1</v>
      </c>
      <c r="L83" s="1">
        <v>0</v>
      </c>
      <c r="M83" s="48">
        <v>0</v>
      </c>
      <c r="N83" s="1">
        <v>0</v>
      </c>
      <c r="O83" s="1">
        <v>1</v>
      </c>
      <c r="P83" s="1">
        <v>0</v>
      </c>
      <c r="Q83" s="80">
        <v>-1</v>
      </c>
      <c r="R83" s="92">
        <v>0</v>
      </c>
      <c r="S83" s="74" t="s">
        <v>227</v>
      </c>
      <c r="T83" s="124" t="s">
        <v>141</v>
      </c>
      <c r="U83" s="70">
        <f t="shared" si="11"/>
        <v>1</v>
      </c>
      <c r="V83" s="48">
        <f t="shared" si="12"/>
        <v>0</v>
      </c>
      <c r="W83" s="48">
        <f t="shared" si="13"/>
        <v>0</v>
      </c>
      <c r="X83" s="48">
        <f t="shared" si="14"/>
        <v>0</v>
      </c>
      <c r="Y83" s="61">
        <v>-1</v>
      </c>
      <c r="Z83" s="61" t="s">
        <v>0</v>
      </c>
      <c r="AA83" t="s">
        <v>679</v>
      </c>
    </row>
    <row r="84" spans="3:29" x14ac:dyDescent="0.25">
      <c r="C84" s="61">
        <f t="shared" ref="C84:C104" si="15">C83</f>
        <v>2013</v>
      </c>
      <c r="D84" s="6">
        <v>2014</v>
      </c>
      <c r="E84" t="s">
        <v>386</v>
      </c>
      <c r="F84" s="51">
        <v>65</v>
      </c>
      <c r="G84" s="66" t="s">
        <v>155</v>
      </c>
      <c r="H84" s="66" t="s">
        <v>189</v>
      </c>
      <c r="I84" s="66" t="s">
        <v>189</v>
      </c>
      <c r="J84" s="66" t="s">
        <v>188</v>
      </c>
      <c r="K84" s="16">
        <v>1</v>
      </c>
      <c r="L84" s="1">
        <v>0</v>
      </c>
      <c r="M84" s="48">
        <v>0</v>
      </c>
      <c r="N84" s="1">
        <v>0</v>
      </c>
      <c r="O84" s="1">
        <v>1</v>
      </c>
      <c r="P84" s="1">
        <v>0</v>
      </c>
      <c r="Q84" s="80">
        <v>-1</v>
      </c>
      <c r="R84" s="92">
        <v>0</v>
      </c>
      <c r="S84" s="74" t="s">
        <v>227</v>
      </c>
      <c r="T84" s="124" t="s">
        <v>141</v>
      </c>
      <c r="U84" s="70">
        <f t="shared" si="11"/>
        <v>1</v>
      </c>
      <c r="V84" s="48">
        <f t="shared" si="12"/>
        <v>0</v>
      </c>
      <c r="W84" s="48">
        <f t="shared" si="13"/>
        <v>0</v>
      </c>
      <c r="X84" s="48">
        <f t="shared" si="14"/>
        <v>0</v>
      </c>
      <c r="Y84" s="61">
        <v>-1</v>
      </c>
      <c r="Z84" s="61" t="s">
        <v>0</v>
      </c>
      <c r="AA84" t="s">
        <v>680</v>
      </c>
    </row>
    <row r="85" spans="3:29" x14ac:dyDescent="0.25">
      <c r="C85" s="61">
        <f t="shared" si="15"/>
        <v>2013</v>
      </c>
      <c r="D85" s="6">
        <v>2014</v>
      </c>
      <c r="E85" t="s">
        <v>383</v>
      </c>
      <c r="F85" s="51">
        <v>57</v>
      </c>
      <c r="G85" s="66" t="s">
        <v>155</v>
      </c>
      <c r="H85" s="66" t="s">
        <v>189</v>
      </c>
      <c r="I85" s="66" t="s">
        <v>189</v>
      </c>
      <c r="J85" s="66" t="s">
        <v>188</v>
      </c>
      <c r="K85" s="16">
        <v>1</v>
      </c>
      <c r="L85" s="1">
        <v>0</v>
      </c>
      <c r="M85" s="48">
        <v>0</v>
      </c>
      <c r="N85" s="1">
        <v>0</v>
      </c>
      <c r="O85" s="1">
        <v>1</v>
      </c>
      <c r="P85" s="1">
        <v>0</v>
      </c>
      <c r="Q85" s="80">
        <v>-1</v>
      </c>
      <c r="R85" s="92">
        <v>0</v>
      </c>
      <c r="S85" s="74" t="s">
        <v>227</v>
      </c>
      <c r="T85" s="124" t="s">
        <v>141</v>
      </c>
      <c r="U85" s="70">
        <f t="shared" si="11"/>
        <v>1</v>
      </c>
      <c r="V85" s="48">
        <f t="shared" si="12"/>
        <v>0</v>
      </c>
      <c r="W85" s="48">
        <f t="shared" si="13"/>
        <v>0</v>
      </c>
      <c r="X85" s="48">
        <f t="shared" si="14"/>
        <v>0</v>
      </c>
      <c r="Y85" s="61">
        <v>-1</v>
      </c>
      <c r="Z85" s="61" t="s">
        <v>0</v>
      </c>
      <c r="AA85" t="s">
        <v>681</v>
      </c>
    </row>
    <row r="86" spans="3:29" x14ac:dyDescent="0.25">
      <c r="C86" s="61">
        <f t="shared" si="15"/>
        <v>2013</v>
      </c>
      <c r="D86" s="6">
        <v>2014</v>
      </c>
      <c r="E86" t="s">
        <v>384</v>
      </c>
      <c r="F86" s="51">
        <v>61</v>
      </c>
      <c r="G86" s="66" t="s">
        <v>155</v>
      </c>
      <c r="H86" s="66" t="s">
        <v>189</v>
      </c>
      <c r="I86" s="66" t="s">
        <v>189</v>
      </c>
      <c r="J86" s="66" t="s">
        <v>188</v>
      </c>
      <c r="K86" s="16">
        <v>1</v>
      </c>
      <c r="L86" s="1">
        <v>0</v>
      </c>
      <c r="M86" s="48">
        <v>0</v>
      </c>
      <c r="N86" s="1">
        <v>0</v>
      </c>
      <c r="O86" s="1">
        <v>1</v>
      </c>
      <c r="P86" s="1">
        <v>0</v>
      </c>
      <c r="Q86" s="80">
        <v>-1</v>
      </c>
      <c r="R86" s="92">
        <v>0</v>
      </c>
      <c r="S86" s="74" t="s">
        <v>227</v>
      </c>
      <c r="T86" s="124" t="s">
        <v>141</v>
      </c>
      <c r="U86" s="70">
        <f t="shared" si="11"/>
        <v>1</v>
      </c>
      <c r="V86" s="48">
        <f t="shared" si="12"/>
        <v>0</v>
      </c>
      <c r="W86" s="48">
        <f t="shared" si="13"/>
        <v>0</v>
      </c>
      <c r="X86" s="48">
        <f t="shared" si="14"/>
        <v>0</v>
      </c>
      <c r="Y86" s="61">
        <v>-1</v>
      </c>
      <c r="Z86" s="61" t="s">
        <v>0</v>
      </c>
      <c r="AA86" t="s">
        <v>14</v>
      </c>
    </row>
    <row r="87" spans="3:29" x14ac:dyDescent="0.25">
      <c r="C87" s="61">
        <f t="shared" si="15"/>
        <v>2013</v>
      </c>
      <c r="D87" s="6">
        <v>2014</v>
      </c>
      <c r="E87" t="s">
        <v>142</v>
      </c>
      <c r="F87" s="51">
        <v>80</v>
      </c>
      <c r="G87" s="66" t="s">
        <v>155</v>
      </c>
      <c r="H87" s="66" t="s">
        <v>189</v>
      </c>
      <c r="I87" s="66" t="s">
        <v>189</v>
      </c>
      <c r="J87" s="66" t="s">
        <v>188</v>
      </c>
      <c r="K87" s="16">
        <v>1</v>
      </c>
      <c r="L87" s="1">
        <v>-1</v>
      </c>
      <c r="M87" s="48">
        <v>0</v>
      </c>
      <c r="N87" s="1">
        <v>0</v>
      </c>
      <c r="O87" s="1">
        <v>1</v>
      </c>
      <c r="P87" s="1">
        <v>0</v>
      </c>
      <c r="Q87" s="80">
        <v>-1</v>
      </c>
      <c r="R87" s="92">
        <v>0</v>
      </c>
      <c r="S87" s="43" t="s">
        <v>141</v>
      </c>
      <c r="T87" s="124" t="s">
        <v>141</v>
      </c>
      <c r="U87" s="70">
        <f t="shared" si="11"/>
        <v>1</v>
      </c>
      <c r="V87" s="48">
        <f t="shared" si="12"/>
        <v>0</v>
      </c>
      <c r="W87" s="48">
        <f t="shared" si="13"/>
        <v>0</v>
      </c>
      <c r="X87" s="48">
        <f t="shared" si="14"/>
        <v>0</v>
      </c>
      <c r="Y87" s="61">
        <v>-1</v>
      </c>
      <c r="Z87" s="61" t="s">
        <v>0</v>
      </c>
      <c r="AA87" t="s">
        <v>15</v>
      </c>
    </row>
    <row r="88" spans="3:29" x14ac:dyDescent="0.25">
      <c r="C88" s="61">
        <f t="shared" ref="C88:C92" si="16">C87</f>
        <v>2013</v>
      </c>
      <c r="D88" s="6">
        <v>2014</v>
      </c>
      <c r="E88" t="s">
        <v>521</v>
      </c>
      <c r="F88" s="67" t="s">
        <v>154</v>
      </c>
      <c r="G88" s="66" t="s">
        <v>155</v>
      </c>
      <c r="H88" s="66" t="s">
        <v>189</v>
      </c>
      <c r="I88" s="66" t="s">
        <v>189</v>
      </c>
      <c r="J88" s="66" t="s">
        <v>188</v>
      </c>
      <c r="K88" s="16">
        <v>1</v>
      </c>
      <c r="L88" s="1">
        <v>0</v>
      </c>
      <c r="M88" s="48">
        <v>0</v>
      </c>
      <c r="N88" s="1">
        <v>0</v>
      </c>
      <c r="O88" s="1">
        <v>0</v>
      </c>
      <c r="P88" s="1">
        <v>0</v>
      </c>
      <c r="Q88" s="80">
        <v>-1</v>
      </c>
      <c r="R88" s="120">
        <v>1</v>
      </c>
      <c r="S88" s="43" t="s">
        <v>141</v>
      </c>
      <c r="T88" s="124" t="s">
        <v>141</v>
      </c>
      <c r="U88" s="70">
        <f t="shared" si="11"/>
        <v>0</v>
      </c>
      <c r="V88" s="48">
        <f t="shared" si="12"/>
        <v>0</v>
      </c>
      <c r="W88" s="48">
        <f t="shared" si="13"/>
        <v>0</v>
      </c>
      <c r="X88" s="48">
        <f t="shared" si="14"/>
        <v>0</v>
      </c>
      <c r="Y88" s="61">
        <v>-1</v>
      </c>
      <c r="Z88" s="61" t="s">
        <v>0</v>
      </c>
      <c r="AA88" t="s">
        <v>522</v>
      </c>
      <c r="AC88" t="s">
        <v>524</v>
      </c>
    </row>
    <row r="89" spans="3:29" x14ac:dyDescent="0.25">
      <c r="C89" s="61">
        <f t="shared" si="16"/>
        <v>2013</v>
      </c>
      <c r="D89" s="6">
        <v>2014</v>
      </c>
      <c r="E89" t="s">
        <v>143</v>
      </c>
      <c r="F89" s="67" t="s">
        <v>154</v>
      </c>
      <c r="G89" s="10">
        <v>7.7</v>
      </c>
      <c r="H89" s="66" t="s">
        <v>189</v>
      </c>
      <c r="I89" s="66" t="s">
        <v>189</v>
      </c>
      <c r="J89" s="66" t="s">
        <v>188</v>
      </c>
      <c r="K89" s="16">
        <v>1</v>
      </c>
      <c r="L89" s="1">
        <v>1</v>
      </c>
      <c r="M89" s="48">
        <v>1</v>
      </c>
      <c r="N89" s="1">
        <v>1</v>
      </c>
      <c r="O89" s="1">
        <v>0</v>
      </c>
      <c r="P89" s="1">
        <v>0</v>
      </c>
      <c r="Q89" s="80">
        <v>68</v>
      </c>
      <c r="R89" s="92">
        <v>0</v>
      </c>
      <c r="S89" s="97" t="s">
        <v>143</v>
      </c>
      <c r="T89" s="24" t="s">
        <v>227</v>
      </c>
      <c r="U89" s="70">
        <f t="shared" si="11"/>
        <v>0</v>
      </c>
      <c r="V89" s="48">
        <f t="shared" si="12"/>
        <v>1</v>
      </c>
      <c r="W89" s="48">
        <f t="shared" si="13"/>
        <v>0</v>
      </c>
      <c r="X89" s="48">
        <f t="shared" si="14"/>
        <v>0</v>
      </c>
      <c r="Y89" s="61">
        <v>-1</v>
      </c>
      <c r="Z89" s="61" t="s">
        <v>0</v>
      </c>
      <c r="AA89" t="s">
        <v>16</v>
      </c>
    </row>
    <row r="90" spans="3:29" x14ac:dyDescent="0.25">
      <c r="C90" s="61">
        <f t="shared" si="16"/>
        <v>2013</v>
      </c>
      <c r="D90" s="6">
        <v>2014</v>
      </c>
      <c r="E90" t="s">
        <v>511</v>
      </c>
      <c r="F90" s="67" t="s">
        <v>154</v>
      </c>
      <c r="G90" s="10">
        <v>7.2</v>
      </c>
      <c r="H90" s="66" t="s">
        <v>189</v>
      </c>
      <c r="I90" s="66" t="s">
        <v>189</v>
      </c>
      <c r="J90" s="66" t="s">
        <v>188</v>
      </c>
      <c r="K90" s="16">
        <v>1</v>
      </c>
      <c r="L90" s="1">
        <v>1</v>
      </c>
      <c r="M90" s="48">
        <v>1</v>
      </c>
      <c r="N90" s="1">
        <v>1</v>
      </c>
      <c r="O90" s="1">
        <v>0</v>
      </c>
      <c r="P90" s="1">
        <v>0</v>
      </c>
      <c r="Q90" s="80">
        <v>68</v>
      </c>
      <c r="R90" s="92">
        <v>0</v>
      </c>
      <c r="S90" s="97" t="s">
        <v>143</v>
      </c>
      <c r="T90" s="24" t="s">
        <v>227</v>
      </c>
      <c r="U90" s="70">
        <f t="shared" si="11"/>
        <v>0</v>
      </c>
      <c r="V90" s="48">
        <f t="shared" si="12"/>
        <v>1</v>
      </c>
      <c r="W90" s="48">
        <f t="shared" si="13"/>
        <v>0</v>
      </c>
      <c r="X90" s="48">
        <f t="shared" si="14"/>
        <v>0</v>
      </c>
      <c r="Y90" s="61">
        <v>-1</v>
      </c>
      <c r="Z90" s="61" t="s">
        <v>0</v>
      </c>
      <c r="AA90" t="s">
        <v>512</v>
      </c>
    </row>
    <row r="91" spans="3:29" x14ac:dyDescent="0.25">
      <c r="C91" s="61">
        <f t="shared" si="16"/>
        <v>2013</v>
      </c>
      <c r="D91" s="6">
        <v>2014</v>
      </c>
      <c r="E91" t="s">
        <v>530</v>
      </c>
      <c r="F91" s="67" t="s">
        <v>154</v>
      </c>
      <c r="G91" s="10">
        <v>7.7</v>
      </c>
      <c r="H91" s="66" t="s">
        <v>189</v>
      </c>
      <c r="I91" s="66" t="s">
        <v>189</v>
      </c>
      <c r="J91" s="66" t="s">
        <v>188</v>
      </c>
      <c r="K91" s="16">
        <v>1</v>
      </c>
      <c r="L91" s="1">
        <v>0</v>
      </c>
      <c r="M91" s="48">
        <v>1</v>
      </c>
      <c r="N91" s="1">
        <v>1</v>
      </c>
      <c r="O91" s="1">
        <v>0</v>
      </c>
      <c r="P91" s="1">
        <v>0</v>
      </c>
      <c r="Q91" s="80">
        <v>68</v>
      </c>
      <c r="R91" s="120">
        <v>1</v>
      </c>
      <c r="S91" s="74" t="s">
        <v>227</v>
      </c>
      <c r="T91" t="s">
        <v>143</v>
      </c>
      <c r="U91" s="70">
        <f t="shared" si="11"/>
        <v>0</v>
      </c>
      <c r="V91" s="48">
        <f t="shared" si="12"/>
        <v>1</v>
      </c>
      <c r="W91" s="48">
        <f t="shared" si="13"/>
        <v>0</v>
      </c>
      <c r="X91" s="48">
        <f t="shared" si="14"/>
        <v>0</v>
      </c>
      <c r="Y91" s="61">
        <v>-1</v>
      </c>
      <c r="Z91" s="61" t="s">
        <v>0</v>
      </c>
      <c r="AA91" t="s">
        <v>529</v>
      </c>
      <c r="AC91" t="s">
        <v>525</v>
      </c>
    </row>
    <row r="92" spans="3:29" x14ac:dyDescent="0.25">
      <c r="C92" s="61">
        <f t="shared" si="16"/>
        <v>2013</v>
      </c>
      <c r="D92" s="6">
        <v>2014</v>
      </c>
      <c r="E92" t="s">
        <v>531</v>
      </c>
      <c r="F92" s="67" t="s">
        <v>154</v>
      </c>
      <c r="G92" s="10">
        <v>7.7</v>
      </c>
      <c r="H92" s="66" t="s">
        <v>189</v>
      </c>
      <c r="I92" s="66" t="s">
        <v>189</v>
      </c>
      <c r="J92" s="66" t="s">
        <v>188</v>
      </c>
      <c r="K92" s="16">
        <v>1</v>
      </c>
      <c r="L92" s="1">
        <v>0</v>
      </c>
      <c r="M92" s="48">
        <v>1</v>
      </c>
      <c r="N92" s="1">
        <v>1</v>
      </c>
      <c r="O92" s="1">
        <v>0</v>
      </c>
      <c r="P92" s="1">
        <v>0</v>
      </c>
      <c r="Q92" s="80">
        <v>68</v>
      </c>
      <c r="R92" s="120">
        <v>1</v>
      </c>
      <c r="S92" s="74" t="s">
        <v>227</v>
      </c>
      <c r="T92" t="s">
        <v>143</v>
      </c>
      <c r="U92" s="70">
        <f t="shared" si="11"/>
        <v>0</v>
      </c>
      <c r="V92" s="48">
        <f t="shared" si="12"/>
        <v>1</v>
      </c>
      <c r="W92" s="48">
        <f t="shared" si="13"/>
        <v>0</v>
      </c>
      <c r="X92" s="48">
        <f t="shared" si="14"/>
        <v>0</v>
      </c>
      <c r="Y92" s="61">
        <v>-1</v>
      </c>
      <c r="Z92" s="61" t="s">
        <v>0</v>
      </c>
      <c r="AA92" t="s">
        <v>532</v>
      </c>
      <c r="AC92" t="s">
        <v>524</v>
      </c>
    </row>
    <row r="93" spans="3:29" x14ac:dyDescent="0.25">
      <c r="C93" s="61">
        <f t="shared" si="15"/>
        <v>2013</v>
      </c>
      <c r="D93" s="6">
        <v>2014</v>
      </c>
      <c r="E93" t="s">
        <v>520</v>
      </c>
      <c r="F93" s="67" t="s">
        <v>154</v>
      </c>
      <c r="G93" s="10">
        <v>7.7</v>
      </c>
      <c r="H93" s="66" t="s">
        <v>189</v>
      </c>
      <c r="I93" s="66" t="s">
        <v>189</v>
      </c>
      <c r="J93" s="66" t="s">
        <v>188</v>
      </c>
      <c r="K93" s="16">
        <v>1</v>
      </c>
      <c r="L93" s="1">
        <v>0</v>
      </c>
      <c r="M93" s="48">
        <v>1</v>
      </c>
      <c r="N93" s="1">
        <v>1</v>
      </c>
      <c r="O93" s="1">
        <v>0</v>
      </c>
      <c r="P93" s="1">
        <v>0</v>
      </c>
      <c r="Q93" s="80">
        <v>68</v>
      </c>
      <c r="R93" s="120">
        <v>1</v>
      </c>
      <c r="S93" s="74" t="s">
        <v>227</v>
      </c>
      <c r="T93" t="s">
        <v>143</v>
      </c>
      <c r="U93" s="70">
        <f t="shared" si="11"/>
        <v>0</v>
      </c>
      <c r="V93" s="48">
        <f t="shared" si="12"/>
        <v>1</v>
      </c>
      <c r="W93" s="48">
        <f t="shared" si="13"/>
        <v>0</v>
      </c>
      <c r="X93" s="48">
        <f t="shared" si="14"/>
        <v>0</v>
      </c>
      <c r="Y93" s="61">
        <v>-1</v>
      </c>
      <c r="Z93" s="61" t="s">
        <v>0</v>
      </c>
      <c r="AA93" t="s">
        <v>535</v>
      </c>
      <c r="AC93" t="s">
        <v>524</v>
      </c>
    </row>
    <row r="94" spans="3:29" x14ac:dyDescent="0.25">
      <c r="C94" s="61">
        <f t="shared" si="15"/>
        <v>2013</v>
      </c>
      <c r="D94" s="6">
        <v>2014</v>
      </c>
      <c r="E94" t="s">
        <v>144</v>
      </c>
      <c r="F94" s="67" t="s">
        <v>154</v>
      </c>
      <c r="G94" s="55">
        <v>7.7</v>
      </c>
      <c r="H94" s="66" t="s">
        <v>189</v>
      </c>
      <c r="I94" s="66" t="s">
        <v>189</v>
      </c>
      <c r="J94" s="66" t="s">
        <v>188</v>
      </c>
      <c r="K94" s="16">
        <v>1</v>
      </c>
      <c r="L94" s="1">
        <v>1</v>
      </c>
      <c r="M94" s="49">
        <v>1</v>
      </c>
      <c r="N94" s="1">
        <v>1</v>
      </c>
      <c r="O94" s="1">
        <v>0</v>
      </c>
      <c r="P94" s="1">
        <v>0</v>
      </c>
      <c r="Q94" s="80">
        <v>68</v>
      </c>
      <c r="R94" s="92">
        <v>0</v>
      </c>
      <c r="S94" s="97" t="s">
        <v>143</v>
      </c>
      <c r="T94" s="24" t="s">
        <v>227</v>
      </c>
      <c r="U94" s="70">
        <f t="shared" si="11"/>
        <v>0</v>
      </c>
      <c r="V94" s="48">
        <f t="shared" si="12"/>
        <v>1</v>
      </c>
      <c r="W94" s="48">
        <f t="shared" si="13"/>
        <v>0</v>
      </c>
      <c r="X94" s="48">
        <f t="shared" si="14"/>
        <v>0</v>
      </c>
      <c r="Y94" s="61">
        <v>-1</v>
      </c>
      <c r="Z94" s="61" t="s">
        <v>0</v>
      </c>
      <c r="AA94" t="s">
        <v>17</v>
      </c>
    </row>
    <row r="95" spans="3:29" x14ac:dyDescent="0.25">
      <c r="C95" s="61">
        <f t="shared" si="15"/>
        <v>2013</v>
      </c>
      <c r="D95" s="6">
        <v>2014</v>
      </c>
      <c r="E95" t="s">
        <v>145</v>
      </c>
      <c r="F95" s="67" t="s">
        <v>154</v>
      </c>
      <c r="G95" s="11">
        <v>0</v>
      </c>
      <c r="H95" s="66" t="s">
        <v>189</v>
      </c>
      <c r="I95" s="66" t="s">
        <v>189</v>
      </c>
      <c r="J95" s="66" t="s">
        <v>188</v>
      </c>
      <c r="K95" s="16">
        <v>0</v>
      </c>
      <c r="L95" s="1">
        <v>1</v>
      </c>
      <c r="M95" s="48">
        <v>1</v>
      </c>
      <c r="N95" s="1">
        <v>1</v>
      </c>
      <c r="O95" s="1">
        <v>0</v>
      </c>
      <c r="P95" s="1">
        <v>0</v>
      </c>
      <c r="Q95" s="80">
        <v>68</v>
      </c>
      <c r="R95" s="92">
        <v>0</v>
      </c>
      <c r="S95" s="97" t="s">
        <v>143</v>
      </c>
      <c r="T95" s="24" t="s">
        <v>227</v>
      </c>
      <c r="U95" s="70">
        <f t="shared" si="11"/>
        <v>0</v>
      </c>
      <c r="V95" s="48">
        <f t="shared" si="12"/>
        <v>0</v>
      </c>
      <c r="W95" s="48">
        <f t="shared" si="13"/>
        <v>0</v>
      </c>
      <c r="X95" s="48">
        <f t="shared" si="14"/>
        <v>0</v>
      </c>
      <c r="Y95" s="61">
        <v>-1</v>
      </c>
      <c r="Z95" s="61" t="s">
        <v>0</v>
      </c>
      <c r="AA95" t="s">
        <v>18</v>
      </c>
    </row>
    <row r="96" spans="3:29" x14ac:dyDescent="0.25">
      <c r="C96" s="61">
        <f t="shared" si="15"/>
        <v>2013</v>
      </c>
      <c r="D96" s="6">
        <v>2014</v>
      </c>
      <c r="E96" t="s">
        <v>146</v>
      </c>
      <c r="F96" s="67" t="s">
        <v>154</v>
      </c>
      <c r="G96" s="55">
        <v>7.4</v>
      </c>
      <c r="H96" s="66" t="s">
        <v>189</v>
      </c>
      <c r="I96" s="66" t="s">
        <v>189</v>
      </c>
      <c r="J96" s="66" t="s">
        <v>188</v>
      </c>
      <c r="K96" s="16">
        <v>1</v>
      </c>
      <c r="L96" s="1">
        <v>0</v>
      </c>
      <c r="M96" s="48">
        <v>1</v>
      </c>
      <c r="N96" s="1">
        <v>1</v>
      </c>
      <c r="O96" s="1">
        <v>0</v>
      </c>
      <c r="P96" s="1">
        <v>0</v>
      </c>
      <c r="Q96" s="80">
        <v>68</v>
      </c>
      <c r="R96" s="120">
        <v>1</v>
      </c>
      <c r="S96" s="74" t="s">
        <v>227</v>
      </c>
      <c r="T96" s="123" t="s">
        <v>143</v>
      </c>
      <c r="U96" s="70">
        <f t="shared" si="11"/>
        <v>0</v>
      </c>
      <c r="V96" s="48">
        <f t="shared" si="12"/>
        <v>1</v>
      </c>
      <c r="W96" s="48">
        <f t="shared" si="13"/>
        <v>0</v>
      </c>
      <c r="X96" s="48">
        <f t="shared" si="14"/>
        <v>0</v>
      </c>
      <c r="Y96" s="61">
        <v>-1</v>
      </c>
      <c r="Z96" s="61" t="s">
        <v>0</v>
      </c>
      <c r="AA96" t="s">
        <v>19</v>
      </c>
    </row>
    <row r="97" spans="1:29" x14ac:dyDescent="0.25">
      <c r="C97" s="61">
        <f t="shared" si="15"/>
        <v>2013</v>
      </c>
      <c r="D97" s="6">
        <v>2014</v>
      </c>
      <c r="E97" t="s">
        <v>147</v>
      </c>
      <c r="F97" s="67" t="s">
        <v>154</v>
      </c>
      <c r="G97" s="10">
        <v>7.7</v>
      </c>
      <c r="H97" s="66" t="s">
        <v>189</v>
      </c>
      <c r="I97" s="66" t="s">
        <v>189</v>
      </c>
      <c r="J97" s="66" t="s">
        <v>188</v>
      </c>
      <c r="K97" s="94">
        <v>1</v>
      </c>
      <c r="L97" s="1">
        <v>-1</v>
      </c>
      <c r="M97" s="48">
        <v>0</v>
      </c>
      <c r="N97" s="1">
        <v>1</v>
      </c>
      <c r="O97" s="1">
        <v>0</v>
      </c>
      <c r="P97" s="1">
        <v>0</v>
      </c>
      <c r="Q97" s="80">
        <v>-1</v>
      </c>
      <c r="R97" s="92">
        <v>0</v>
      </c>
      <c r="S97" s="97" t="s">
        <v>143</v>
      </c>
      <c r="T97" s="54" t="s">
        <v>143</v>
      </c>
      <c r="U97" s="70">
        <f t="shared" si="11"/>
        <v>0</v>
      </c>
      <c r="V97" s="48">
        <f t="shared" si="12"/>
        <v>1</v>
      </c>
      <c r="W97" s="48">
        <f t="shared" si="13"/>
        <v>0</v>
      </c>
      <c r="X97" s="48">
        <f t="shared" si="14"/>
        <v>0</v>
      </c>
      <c r="Y97" s="61">
        <v>-1</v>
      </c>
      <c r="Z97" s="61" t="s">
        <v>0</v>
      </c>
      <c r="AA97" t="s">
        <v>20</v>
      </c>
    </row>
    <row r="98" spans="1:29" x14ac:dyDescent="0.25">
      <c r="C98" s="61">
        <f t="shared" si="15"/>
        <v>2013</v>
      </c>
      <c r="D98" s="6">
        <v>2014</v>
      </c>
      <c r="E98" t="s">
        <v>148</v>
      </c>
      <c r="F98" s="67" t="s">
        <v>154</v>
      </c>
      <c r="G98" s="66" t="s">
        <v>155</v>
      </c>
      <c r="H98" s="66" t="s">
        <v>189</v>
      </c>
      <c r="I98" s="66" t="s">
        <v>189</v>
      </c>
      <c r="J98" s="66" t="s">
        <v>188</v>
      </c>
      <c r="K98" s="94">
        <v>1</v>
      </c>
      <c r="L98" s="1">
        <v>-1</v>
      </c>
      <c r="M98" s="48">
        <v>0</v>
      </c>
      <c r="N98" s="1">
        <v>0</v>
      </c>
      <c r="O98" s="1">
        <v>1</v>
      </c>
      <c r="P98" s="1">
        <v>0</v>
      </c>
      <c r="Q98" s="80">
        <v>-1</v>
      </c>
      <c r="R98" s="92">
        <v>0</v>
      </c>
      <c r="S98" s="43" t="s">
        <v>141</v>
      </c>
      <c r="T98" s="123" t="s">
        <v>141</v>
      </c>
      <c r="U98" s="70">
        <f t="shared" si="11"/>
        <v>0</v>
      </c>
      <c r="V98" s="48">
        <f t="shared" si="12"/>
        <v>0</v>
      </c>
      <c r="W98" s="48">
        <f t="shared" si="13"/>
        <v>0</v>
      </c>
      <c r="X98" s="48">
        <f t="shared" si="14"/>
        <v>0</v>
      </c>
      <c r="Y98" s="61">
        <v>-1</v>
      </c>
      <c r="Z98" s="61" t="s">
        <v>0</v>
      </c>
      <c r="AA98" t="s">
        <v>21</v>
      </c>
    </row>
    <row r="99" spans="1:29" x14ac:dyDescent="0.25">
      <c r="C99" s="61">
        <f t="shared" si="15"/>
        <v>2013</v>
      </c>
      <c r="D99" s="6">
        <v>2014</v>
      </c>
      <c r="E99" t="s">
        <v>510</v>
      </c>
      <c r="F99" s="67" t="s">
        <v>154</v>
      </c>
      <c r="G99" s="66" t="s">
        <v>155</v>
      </c>
      <c r="H99" s="66" t="s">
        <v>189</v>
      </c>
      <c r="I99" s="66" t="s">
        <v>189</v>
      </c>
      <c r="J99" s="66" t="s">
        <v>188</v>
      </c>
      <c r="K99" s="94">
        <v>1</v>
      </c>
      <c r="L99" s="1">
        <v>-1</v>
      </c>
      <c r="M99" s="48">
        <v>0</v>
      </c>
      <c r="N99" s="1">
        <v>1</v>
      </c>
      <c r="O99" s="1">
        <v>0</v>
      </c>
      <c r="P99" s="1">
        <v>0</v>
      </c>
      <c r="Q99" s="80">
        <v>-1</v>
      </c>
      <c r="R99" s="92">
        <v>0</v>
      </c>
      <c r="S99" s="97" t="s">
        <v>143</v>
      </c>
      <c r="T99" s="54" t="s">
        <v>143</v>
      </c>
      <c r="U99" s="70">
        <f t="shared" si="11"/>
        <v>0</v>
      </c>
      <c r="V99" s="48">
        <f t="shared" si="12"/>
        <v>0</v>
      </c>
      <c r="W99" s="48">
        <f t="shared" si="13"/>
        <v>0</v>
      </c>
      <c r="X99" s="48">
        <f t="shared" si="14"/>
        <v>0</v>
      </c>
      <c r="Y99" s="61">
        <v>-1</v>
      </c>
      <c r="Z99" s="61" t="s">
        <v>0</v>
      </c>
      <c r="AA99" t="s">
        <v>21</v>
      </c>
    </row>
    <row r="100" spans="1:29" x14ac:dyDescent="0.25">
      <c r="C100" s="61">
        <f t="shared" si="15"/>
        <v>2013</v>
      </c>
      <c r="D100" s="6">
        <v>2014</v>
      </c>
      <c r="E100" t="s">
        <v>367</v>
      </c>
      <c r="F100" s="67" t="s">
        <v>154</v>
      </c>
      <c r="G100" s="66" t="s">
        <v>155</v>
      </c>
      <c r="H100" s="66" t="s">
        <v>189</v>
      </c>
      <c r="I100" s="66" t="s">
        <v>189</v>
      </c>
      <c r="J100" s="66" t="s">
        <v>188</v>
      </c>
      <c r="K100" s="16">
        <v>1</v>
      </c>
      <c r="L100" s="1">
        <v>-1</v>
      </c>
      <c r="M100" s="48">
        <v>1</v>
      </c>
      <c r="N100" s="1">
        <v>1</v>
      </c>
      <c r="O100" s="1">
        <v>0</v>
      </c>
      <c r="P100" s="1">
        <v>1</v>
      </c>
      <c r="Q100" s="80">
        <v>68</v>
      </c>
      <c r="R100" s="92">
        <v>0</v>
      </c>
      <c r="S100" s="97" t="s">
        <v>143</v>
      </c>
      <c r="T100" s="54" t="s">
        <v>143</v>
      </c>
      <c r="U100" s="70">
        <f t="shared" si="11"/>
        <v>0</v>
      </c>
      <c r="V100" s="48">
        <f t="shared" si="12"/>
        <v>0</v>
      </c>
      <c r="W100" s="48">
        <f t="shared" si="13"/>
        <v>0</v>
      </c>
      <c r="X100" s="48">
        <f t="shared" si="14"/>
        <v>0</v>
      </c>
      <c r="Y100" s="61">
        <v>-1</v>
      </c>
      <c r="Z100" s="61" t="s">
        <v>0</v>
      </c>
      <c r="AA100" t="s">
        <v>368</v>
      </c>
    </row>
    <row r="101" spans="1:29" x14ac:dyDescent="0.25">
      <c r="C101" s="61">
        <f t="shared" si="15"/>
        <v>2013</v>
      </c>
      <c r="D101" s="6">
        <v>2014</v>
      </c>
      <c r="E101" t="s">
        <v>366</v>
      </c>
      <c r="F101" s="67" t="s">
        <v>154</v>
      </c>
      <c r="G101" s="10">
        <v>7.7</v>
      </c>
      <c r="H101" s="66" t="s">
        <v>189</v>
      </c>
      <c r="I101" s="66" t="s">
        <v>189</v>
      </c>
      <c r="J101" s="66" t="s">
        <v>188</v>
      </c>
      <c r="K101" s="16">
        <v>1</v>
      </c>
      <c r="L101" s="1">
        <v>-1</v>
      </c>
      <c r="M101" s="48">
        <v>1</v>
      </c>
      <c r="N101" s="1">
        <v>1</v>
      </c>
      <c r="O101" s="1">
        <v>0</v>
      </c>
      <c r="P101" s="1">
        <v>1</v>
      </c>
      <c r="Q101" s="80">
        <v>68</v>
      </c>
      <c r="R101" s="120">
        <v>1</v>
      </c>
      <c r="S101" s="97" t="s">
        <v>143</v>
      </c>
      <c r="T101" s="54" t="s">
        <v>143</v>
      </c>
      <c r="U101" s="70">
        <f t="shared" si="11"/>
        <v>0</v>
      </c>
      <c r="V101" s="48">
        <f t="shared" si="12"/>
        <v>1</v>
      </c>
      <c r="W101" s="48">
        <f t="shared" si="13"/>
        <v>0</v>
      </c>
      <c r="X101" s="48">
        <f t="shared" si="14"/>
        <v>0</v>
      </c>
      <c r="Y101" s="61">
        <v>-1</v>
      </c>
      <c r="Z101" s="61" t="s">
        <v>0</v>
      </c>
      <c r="AA101" t="s">
        <v>369</v>
      </c>
    </row>
    <row r="102" spans="1:29" x14ac:dyDescent="0.25">
      <c r="C102" s="61">
        <f t="shared" si="15"/>
        <v>2013</v>
      </c>
      <c r="D102" s="6">
        <v>2014</v>
      </c>
      <c r="E102" t="s">
        <v>549</v>
      </c>
      <c r="F102" s="67" t="s">
        <v>154</v>
      </c>
      <c r="G102" s="10">
        <v>7.7</v>
      </c>
      <c r="H102" s="66" t="s">
        <v>189</v>
      </c>
      <c r="I102" s="66" t="s">
        <v>189</v>
      </c>
      <c r="J102" s="66" t="s">
        <v>188</v>
      </c>
      <c r="K102" s="16">
        <v>1</v>
      </c>
      <c r="L102" s="1">
        <v>-1</v>
      </c>
      <c r="M102" s="48">
        <v>1</v>
      </c>
      <c r="N102" s="1">
        <v>1</v>
      </c>
      <c r="O102" s="1">
        <v>0</v>
      </c>
      <c r="P102" s="1">
        <v>0</v>
      </c>
      <c r="Q102" s="80">
        <v>68</v>
      </c>
      <c r="R102" s="92">
        <v>0</v>
      </c>
      <c r="S102" s="97" t="s">
        <v>143</v>
      </c>
      <c r="T102" s="54" t="s">
        <v>143</v>
      </c>
      <c r="U102" s="70">
        <f t="shared" ref="U102" si="17">IF(AND(ISNUMBER(F102), F102&gt;0), 1, 0)</f>
        <v>0</v>
      </c>
      <c r="V102" s="48">
        <f t="shared" si="12"/>
        <v>1</v>
      </c>
      <c r="W102" s="48">
        <f t="shared" si="13"/>
        <v>0</v>
      </c>
      <c r="X102" s="48">
        <f t="shared" ref="X102" si="18">IF(AND(ISNUMBER(J102), J102&gt;0), 1, 0)</f>
        <v>0</v>
      </c>
      <c r="Y102" s="61">
        <v>-1</v>
      </c>
      <c r="Z102" s="61" t="s">
        <v>0</v>
      </c>
      <c r="AA102" t="s">
        <v>550</v>
      </c>
      <c r="AC102" t="s">
        <v>551</v>
      </c>
    </row>
    <row r="103" spans="1:29" x14ac:dyDescent="0.25">
      <c r="C103" s="61">
        <f t="shared" si="15"/>
        <v>2013</v>
      </c>
      <c r="D103" s="6">
        <v>2014</v>
      </c>
      <c r="E103" t="s">
        <v>728</v>
      </c>
      <c r="F103" s="67" t="s">
        <v>154</v>
      </c>
      <c r="G103" s="10">
        <v>7.7</v>
      </c>
      <c r="H103" s="66" t="s">
        <v>189</v>
      </c>
      <c r="I103" s="66" t="s">
        <v>189</v>
      </c>
      <c r="J103" s="66" t="s">
        <v>188</v>
      </c>
      <c r="K103" s="16">
        <v>1</v>
      </c>
      <c r="L103" s="1">
        <v>-1</v>
      </c>
      <c r="M103" s="48">
        <v>1</v>
      </c>
      <c r="N103" s="1">
        <v>1</v>
      </c>
      <c r="O103" s="1">
        <v>0</v>
      </c>
      <c r="P103" s="1">
        <v>0</v>
      </c>
      <c r="Q103" s="80">
        <v>68</v>
      </c>
      <c r="R103" s="92">
        <v>0</v>
      </c>
      <c r="S103" s="97" t="s">
        <v>143</v>
      </c>
      <c r="T103" s="54" t="s">
        <v>143</v>
      </c>
      <c r="U103" s="70">
        <f t="shared" ref="U103" si="19">IF(AND(ISNUMBER(F103), F103&gt;0), 1, 0)</f>
        <v>0</v>
      </c>
      <c r="V103" s="48">
        <f t="shared" ref="V103" si="20">IF(AND(ISNUMBER(G103), G103&gt;0), 1, 0)</f>
        <v>1</v>
      </c>
      <c r="W103" s="48">
        <f t="shared" si="13"/>
        <v>0</v>
      </c>
      <c r="X103" s="48">
        <f t="shared" ref="X103" si="21">IF(AND(ISNUMBER(J103), J103&gt;0), 1, 0)</f>
        <v>0</v>
      </c>
      <c r="Y103" s="61">
        <v>-1</v>
      </c>
      <c r="Z103" s="61" t="s">
        <v>0</v>
      </c>
      <c r="AA103" t="s">
        <v>729</v>
      </c>
      <c r="AC103" t="s">
        <v>551</v>
      </c>
    </row>
    <row r="104" spans="1:29" x14ac:dyDescent="0.25">
      <c r="C104" s="61">
        <f t="shared" si="15"/>
        <v>2013</v>
      </c>
      <c r="D104" s="6">
        <v>2014</v>
      </c>
      <c r="E104" t="s">
        <v>1065</v>
      </c>
      <c r="F104" s="67" t="s">
        <v>154</v>
      </c>
      <c r="G104" s="10">
        <v>7.7</v>
      </c>
      <c r="H104" s="66" t="s">
        <v>189</v>
      </c>
      <c r="I104" s="66" t="s">
        <v>189</v>
      </c>
      <c r="J104" s="66" t="s">
        <v>188</v>
      </c>
      <c r="K104" s="16">
        <v>1</v>
      </c>
      <c r="L104" s="1">
        <v>-1</v>
      </c>
      <c r="M104" s="48">
        <v>1</v>
      </c>
      <c r="N104" s="1">
        <v>1</v>
      </c>
      <c r="O104" s="1">
        <v>0</v>
      </c>
      <c r="P104" s="1">
        <v>0</v>
      </c>
      <c r="Q104" s="80">
        <v>68</v>
      </c>
      <c r="R104" s="92">
        <v>0</v>
      </c>
      <c r="S104" s="97" t="s">
        <v>143</v>
      </c>
      <c r="T104" s="54" t="s">
        <v>143</v>
      </c>
      <c r="U104" s="70">
        <f t="shared" ref="U104" si="22">IF(AND(ISNUMBER(F104), F104&gt;0), 1, 0)</f>
        <v>0</v>
      </c>
      <c r="V104" s="48">
        <f t="shared" ref="V104" si="23">IF(AND(ISNUMBER(G104), G104&gt;0), 1, 0)</f>
        <v>1</v>
      </c>
      <c r="W104" s="48">
        <f t="shared" ref="W104" si="24">IF(AND(ISNUMBER(H104), H104&gt;0), 1, 0)</f>
        <v>0</v>
      </c>
      <c r="X104" s="48">
        <f t="shared" ref="X104" si="25">IF(AND(ISNUMBER(J104), J104&gt;0), 1, 0)</f>
        <v>0</v>
      </c>
      <c r="Y104" s="61">
        <v>-1</v>
      </c>
      <c r="Z104" s="61" t="s">
        <v>0</v>
      </c>
      <c r="AA104" t="s">
        <v>1063</v>
      </c>
      <c r="AC104" t="s">
        <v>551</v>
      </c>
    </row>
    <row r="105" spans="1:29" ht="6.75" customHeight="1" x14ac:dyDescent="0.25">
      <c r="A105" t="s">
        <v>0</v>
      </c>
      <c r="C105" s="57"/>
      <c r="D105" s="57"/>
      <c r="E105" s="58"/>
      <c r="F105" s="57"/>
      <c r="G105" s="57"/>
      <c r="H105" s="57"/>
      <c r="I105" s="57"/>
      <c r="J105" s="57"/>
      <c r="K105" s="59"/>
      <c r="L105" s="59"/>
      <c r="M105" s="59"/>
      <c r="N105" s="59"/>
      <c r="O105" s="59"/>
      <c r="P105" s="59"/>
      <c r="Q105" s="59"/>
      <c r="R105" s="59"/>
      <c r="S105" s="58"/>
      <c r="T105" s="58"/>
      <c r="U105" s="58"/>
      <c r="V105" s="58"/>
      <c r="W105" s="58"/>
      <c r="X105" s="58"/>
      <c r="Y105" s="58"/>
      <c r="Z105" s="62"/>
    </row>
    <row r="106" spans="1:29" x14ac:dyDescent="0.25">
      <c r="C106" s="60">
        <v>2013</v>
      </c>
      <c r="D106" s="60">
        <v>2015</v>
      </c>
      <c r="E106" t="str">
        <f t="shared" ref="E106:E125" si="26">E82</f>
        <v xml:space="preserve">CntrlFurnace   </v>
      </c>
      <c r="F106" s="51">
        <v>78</v>
      </c>
      <c r="G106" s="66" t="s">
        <v>155</v>
      </c>
      <c r="H106" s="66" t="s">
        <v>189</v>
      </c>
      <c r="I106" s="66" t="s">
        <v>189</v>
      </c>
      <c r="J106" s="66" t="s">
        <v>188</v>
      </c>
      <c r="K106" s="72">
        <f t="shared" ref="K106:T106" si="27">K82</f>
        <v>1</v>
      </c>
      <c r="L106" s="61">
        <f t="shared" si="27"/>
        <v>1</v>
      </c>
      <c r="M106" s="61">
        <f t="shared" si="27"/>
        <v>0</v>
      </c>
      <c r="N106" s="61">
        <f t="shared" si="27"/>
        <v>0</v>
      </c>
      <c r="O106" s="61">
        <f t="shared" si="27"/>
        <v>1</v>
      </c>
      <c r="P106" s="105">
        <f t="shared" si="27"/>
        <v>0</v>
      </c>
      <c r="Q106" s="72">
        <f t="shared" si="27"/>
        <v>-1</v>
      </c>
      <c r="R106" s="72">
        <f t="shared" si="27"/>
        <v>0</v>
      </c>
      <c r="S106" s="75" t="str">
        <f t="shared" si="27"/>
        <v xml:space="preserve">CntrlFurnace   </v>
      </c>
      <c r="T106" s="62" t="str">
        <f t="shared" si="27"/>
        <v>N/A</v>
      </c>
      <c r="U106" s="92">
        <f t="shared" ref="U106:U125" si="28">IF(AND(ISNUMBER(F106), F106&gt;0), 1, 0)</f>
        <v>1</v>
      </c>
      <c r="V106" s="6">
        <f t="shared" ref="V106:V126" si="29">IF(AND(ISNUMBER(G106), G106&gt;0), 1, 0)</f>
        <v>0</v>
      </c>
      <c r="W106" s="6">
        <f t="shared" ref="W106:W127" si="30">IF(AND(ISNUMBER(H106), H106&gt;0), 1, 0)</f>
        <v>0</v>
      </c>
      <c r="X106" s="6">
        <f t="shared" ref="X106:X125" si="31">IF(AND(ISNUMBER(J106), J106&gt;0), 1, 0)</f>
        <v>0</v>
      </c>
      <c r="Y106" s="61">
        <v>-1</v>
      </c>
      <c r="Z106" s="61" t="s">
        <v>0</v>
      </c>
      <c r="AA106" s="62" t="str">
        <f>AA82</f>
        <v xml:space="preserve">CntrlFurnace - Fuel-fired central furnace                         </v>
      </c>
    </row>
    <row r="107" spans="1:29" x14ac:dyDescent="0.25">
      <c r="C107" s="61">
        <f>C106</f>
        <v>2013</v>
      </c>
      <c r="D107" s="6">
        <f>D106</f>
        <v>2015</v>
      </c>
      <c r="E107" t="str">
        <f t="shared" si="26"/>
        <v>WallFurnaceFan</v>
      </c>
      <c r="F107" s="63">
        <v>73</v>
      </c>
      <c r="G107" s="66" t="s">
        <v>155</v>
      </c>
      <c r="H107" s="66" t="s">
        <v>189</v>
      </c>
      <c r="I107" s="66" t="s">
        <v>189</v>
      </c>
      <c r="J107" s="66" t="s">
        <v>188</v>
      </c>
      <c r="K107" s="72">
        <f t="shared" ref="K107:R107" si="32">K83</f>
        <v>1</v>
      </c>
      <c r="L107" s="61">
        <f t="shared" si="32"/>
        <v>0</v>
      </c>
      <c r="M107" s="61">
        <f t="shared" si="32"/>
        <v>0</v>
      </c>
      <c r="N107" s="61">
        <f t="shared" si="32"/>
        <v>0</v>
      </c>
      <c r="O107" s="61">
        <f t="shared" si="32"/>
        <v>1</v>
      </c>
      <c r="P107" s="105">
        <f t="shared" si="32"/>
        <v>0</v>
      </c>
      <c r="Q107" s="72">
        <f t="shared" si="32"/>
        <v>-1</v>
      </c>
      <c r="R107" s="72">
        <f t="shared" si="32"/>
        <v>0</v>
      </c>
      <c r="S107" s="75" t="str">
        <f t="shared" ref="S107:T111" si="33">S83</f>
        <v>N/A</v>
      </c>
      <c r="T107" s="62" t="str">
        <f t="shared" si="33"/>
        <v xml:space="preserve">CntrlFurnace   </v>
      </c>
      <c r="U107" s="92">
        <f t="shared" si="28"/>
        <v>1</v>
      </c>
      <c r="V107" s="6">
        <f t="shared" si="29"/>
        <v>0</v>
      </c>
      <c r="W107" s="6">
        <f t="shared" si="30"/>
        <v>0</v>
      </c>
      <c r="X107" s="6">
        <f t="shared" si="31"/>
        <v>0</v>
      </c>
      <c r="Y107" s="61">
        <v>-1</v>
      </c>
      <c r="Z107" s="61" t="s">
        <v>0</v>
      </c>
      <c r="AA107" s="62" t="str">
        <f>AA84</f>
        <v>WallFurnaceGravity - Ductless gravity flowed wall furnace</v>
      </c>
    </row>
    <row r="108" spans="1:29" x14ac:dyDescent="0.25">
      <c r="C108" s="61">
        <f t="shared" ref="C108:C111" si="34">C107</f>
        <v>2013</v>
      </c>
      <c r="D108" s="6">
        <f>D107</f>
        <v>2015</v>
      </c>
      <c r="E108" t="str">
        <f t="shared" si="26"/>
        <v>WallFurnaceGravity</v>
      </c>
      <c r="F108" s="63">
        <v>59</v>
      </c>
      <c r="G108" s="66" t="s">
        <v>155</v>
      </c>
      <c r="H108" s="66" t="s">
        <v>189</v>
      </c>
      <c r="I108" s="66" t="s">
        <v>189</v>
      </c>
      <c r="J108" s="66" t="s">
        <v>188</v>
      </c>
      <c r="K108" s="72">
        <f t="shared" ref="K108:R108" si="35">K84</f>
        <v>1</v>
      </c>
      <c r="L108" s="61">
        <f t="shared" si="35"/>
        <v>0</v>
      </c>
      <c r="M108" s="61">
        <f t="shared" si="35"/>
        <v>0</v>
      </c>
      <c r="N108" s="61">
        <f t="shared" si="35"/>
        <v>0</v>
      </c>
      <c r="O108" s="61">
        <f t="shared" si="35"/>
        <v>1</v>
      </c>
      <c r="P108" s="105">
        <f t="shared" si="35"/>
        <v>0</v>
      </c>
      <c r="Q108" s="72">
        <f t="shared" si="35"/>
        <v>-1</v>
      </c>
      <c r="R108" s="72">
        <f t="shared" si="35"/>
        <v>0</v>
      </c>
      <c r="S108" s="75" t="str">
        <f t="shared" si="33"/>
        <v>N/A</v>
      </c>
      <c r="T108" s="62" t="str">
        <f t="shared" si="33"/>
        <v xml:space="preserve">CntrlFurnace   </v>
      </c>
      <c r="U108" s="92">
        <f t="shared" si="28"/>
        <v>1</v>
      </c>
      <c r="V108" s="6">
        <f t="shared" si="29"/>
        <v>0</v>
      </c>
      <c r="W108" s="6">
        <f t="shared" si="30"/>
        <v>0</v>
      </c>
      <c r="X108" s="6">
        <f t="shared" si="31"/>
        <v>0</v>
      </c>
      <c r="Y108" s="61">
        <v>-1</v>
      </c>
      <c r="Z108" s="61" t="s">
        <v>0</v>
      </c>
      <c r="AA108" s="62" t="str">
        <f>AA85</f>
        <v>FloorFurnace - Ductless floor heating system</v>
      </c>
    </row>
    <row r="109" spans="1:29" x14ac:dyDescent="0.25">
      <c r="C109" s="61">
        <f t="shared" si="34"/>
        <v>2013</v>
      </c>
      <c r="D109" s="6">
        <f t="shared" ref="D109:D128" si="36">D108</f>
        <v>2015</v>
      </c>
      <c r="E109" t="str">
        <f t="shared" si="26"/>
        <v>FloorFurnace</v>
      </c>
      <c r="F109" s="63">
        <v>56</v>
      </c>
      <c r="G109" s="66" t="s">
        <v>155</v>
      </c>
      <c r="H109" s="66" t="s">
        <v>189</v>
      </c>
      <c r="I109" s="66" t="s">
        <v>189</v>
      </c>
      <c r="J109" s="66" t="s">
        <v>188</v>
      </c>
      <c r="K109" s="72">
        <f t="shared" ref="K109:R109" si="37">K85</f>
        <v>1</v>
      </c>
      <c r="L109" s="61">
        <f t="shared" si="37"/>
        <v>0</v>
      </c>
      <c r="M109" s="61">
        <f t="shared" si="37"/>
        <v>0</v>
      </c>
      <c r="N109" s="61">
        <f t="shared" si="37"/>
        <v>0</v>
      </c>
      <c r="O109" s="61">
        <f t="shared" si="37"/>
        <v>1</v>
      </c>
      <c r="P109" s="105">
        <f t="shared" si="37"/>
        <v>0</v>
      </c>
      <c r="Q109" s="72">
        <f t="shared" si="37"/>
        <v>-1</v>
      </c>
      <c r="R109" s="72">
        <f t="shared" si="37"/>
        <v>0</v>
      </c>
      <c r="S109" s="75" t="str">
        <f t="shared" si="33"/>
        <v>N/A</v>
      </c>
      <c r="T109" s="62" t="str">
        <f t="shared" si="33"/>
        <v xml:space="preserve">CntrlFurnace   </v>
      </c>
      <c r="U109" s="92">
        <f t="shared" si="28"/>
        <v>1</v>
      </c>
      <c r="V109" s="6">
        <f t="shared" si="29"/>
        <v>0</v>
      </c>
      <c r="W109" s="6">
        <f t="shared" si="30"/>
        <v>0</v>
      </c>
      <c r="X109" s="6">
        <f t="shared" si="31"/>
        <v>0</v>
      </c>
      <c r="Y109" s="61">
        <v>-1</v>
      </c>
      <c r="Z109" s="61" t="s">
        <v>0</v>
      </c>
      <c r="AA109" s="62" t="str">
        <f>AA86</f>
        <v xml:space="preserve">Heater - Non-central fuel-fired space heater                      </v>
      </c>
    </row>
    <row r="110" spans="1:29" x14ac:dyDescent="0.25">
      <c r="C110" s="61">
        <f t="shared" si="34"/>
        <v>2013</v>
      </c>
      <c r="D110" s="6">
        <f t="shared" si="36"/>
        <v>2015</v>
      </c>
      <c r="E110" t="str">
        <f t="shared" si="26"/>
        <v>RoomHeater</v>
      </c>
      <c r="F110" s="63">
        <v>57</v>
      </c>
      <c r="G110" s="66" t="s">
        <v>155</v>
      </c>
      <c r="H110" s="66" t="s">
        <v>189</v>
      </c>
      <c r="I110" s="66" t="s">
        <v>189</v>
      </c>
      <c r="J110" s="66" t="s">
        <v>188</v>
      </c>
      <c r="K110" s="72">
        <f t="shared" ref="K110:R110" si="38">K86</f>
        <v>1</v>
      </c>
      <c r="L110" s="61">
        <f t="shared" si="38"/>
        <v>0</v>
      </c>
      <c r="M110" s="61">
        <f t="shared" si="38"/>
        <v>0</v>
      </c>
      <c r="N110" s="61">
        <f t="shared" si="38"/>
        <v>0</v>
      </c>
      <c r="O110" s="61">
        <f t="shared" si="38"/>
        <v>1</v>
      </c>
      <c r="P110" s="105">
        <f t="shared" si="38"/>
        <v>0</v>
      </c>
      <c r="Q110" s="72">
        <f t="shared" si="38"/>
        <v>-1</v>
      </c>
      <c r="R110" s="72">
        <f t="shared" si="38"/>
        <v>0</v>
      </c>
      <c r="S110" s="75" t="str">
        <f t="shared" si="33"/>
        <v>N/A</v>
      </c>
      <c r="T110" s="62" t="str">
        <f t="shared" si="33"/>
        <v xml:space="preserve">CntrlFurnace   </v>
      </c>
      <c r="U110" s="92">
        <f t="shared" si="28"/>
        <v>1</v>
      </c>
      <c r="V110" s="6">
        <f t="shared" si="29"/>
        <v>0</v>
      </c>
      <c r="W110" s="6">
        <f t="shared" si="30"/>
        <v>0</v>
      </c>
      <c r="X110" s="6">
        <f t="shared" si="31"/>
        <v>0</v>
      </c>
      <c r="Y110" s="61">
        <v>-1</v>
      </c>
      <c r="Z110" s="61" t="s">
        <v>0</v>
      </c>
      <c r="AA110" s="62" t="str">
        <f>AA87</f>
        <v xml:space="preserve">Boiler - Gas or oil boiler                                        </v>
      </c>
    </row>
    <row r="111" spans="1:29" x14ac:dyDescent="0.25">
      <c r="C111" s="61">
        <f t="shared" si="34"/>
        <v>2013</v>
      </c>
      <c r="D111" s="6">
        <f t="shared" si="36"/>
        <v>2015</v>
      </c>
      <c r="E111" t="str">
        <f t="shared" si="26"/>
        <v xml:space="preserve">Boiler         </v>
      </c>
      <c r="F111" s="51">
        <v>80</v>
      </c>
      <c r="G111" s="66" t="s">
        <v>155</v>
      </c>
      <c r="H111" s="66" t="s">
        <v>189</v>
      </c>
      <c r="I111" s="66" t="s">
        <v>189</v>
      </c>
      <c r="J111" s="66" t="s">
        <v>188</v>
      </c>
      <c r="K111" s="72">
        <f t="shared" ref="K111:R111" si="39">K87</f>
        <v>1</v>
      </c>
      <c r="L111" s="61">
        <f t="shared" si="39"/>
        <v>-1</v>
      </c>
      <c r="M111" s="61">
        <f t="shared" si="39"/>
        <v>0</v>
      </c>
      <c r="N111" s="61">
        <f t="shared" si="39"/>
        <v>0</v>
      </c>
      <c r="O111" s="61">
        <f t="shared" si="39"/>
        <v>1</v>
      </c>
      <c r="P111" s="61">
        <f t="shared" si="39"/>
        <v>0</v>
      </c>
      <c r="Q111" s="96">
        <f t="shared" si="39"/>
        <v>-1</v>
      </c>
      <c r="R111" s="96">
        <f t="shared" si="39"/>
        <v>0</v>
      </c>
      <c r="S111" s="75" t="str">
        <f t="shared" si="33"/>
        <v xml:space="preserve">CntrlFurnace   </v>
      </c>
      <c r="T111" s="62" t="str">
        <f t="shared" si="33"/>
        <v xml:space="preserve">CntrlFurnace   </v>
      </c>
      <c r="U111" s="92">
        <f t="shared" si="28"/>
        <v>1</v>
      </c>
      <c r="V111" s="6">
        <f t="shared" si="29"/>
        <v>0</v>
      </c>
      <c r="W111" s="6">
        <f t="shared" si="30"/>
        <v>0</v>
      </c>
      <c r="X111" s="6">
        <f t="shared" si="31"/>
        <v>0</v>
      </c>
      <c r="Y111" s="61">
        <v>-1</v>
      </c>
      <c r="Z111" s="61" t="s">
        <v>0</v>
      </c>
      <c r="AA111" s="62" t="str">
        <f t="shared" ref="AA111:AA128" si="40">AA87</f>
        <v xml:space="preserve">Boiler - Gas or oil boiler                                        </v>
      </c>
    </row>
    <row r="112" spans="1:29" x14ac:dyDescent="0.25">
      <c r="C112" s="61">
        <f t="shared" ref="C112:C115" si="41">C111</f>
        <v>2013</v>
      </c>
      <c r="D112" s="6">
        <f t="shared" si="36"/>
        <v>2015</v>
      </c>
      <c r="E112" t="str">
        <f t="shared" si="26"/>
        <v>WoodHeat</v>
      </c>
      <c r="F112" s="67" t="s">
        <v>154</v>
      </c>
      <c r="G112" s="66" t="s">
        <v>155</v>
      </c>
      <c r="H112" s="66" t="s">
        <v>189</v>
      </c>
      <c r="I112" s="66" t="s">
        <v>189</v>
      </c>
      <c r="J112" s="66" t="s">
        <v>188</v>
      </c>
      <c r="K112" s="72">
        <f t="shared" ref="K112:T112" si="42">K88</f>
        <v>1</v>
      </c>
      <c r="L112" s="61">
        <f t="shared" si="42"/>
        <v>0</v>
      </c>
      <c r="M112" s="61">
        <f t="shared" si="42"/>
        <v>0</v>
      </c>
      <c r="N112" s="61">
        <f t="shared" si="42"/>
        <v>0</v>
      </c>
      <c r="O112" s="61">
        <f t="shared" si="42"/>
        <v>0</v>
      </c>
      <c r="P112" s="61">
        <f t="shared" si="42"/>
        <v>0</v>
      </c>
      <c r="Q112" s="96">
        <f t="shared" si="42"/>
        <v>-1</v>
      </c>
      <c r="R112" s="96">
        <f t="shared" si="42"/>
        <v>1</v>
      </c>
      <c r="S112" s="75" t="str">
        <f t="shared" si="42"/>
        <v xml:space="preserve">CntrlFurnace   </v>
      </c>
      <c r="T112" s="62" t="str">
        <f t="shared" si="42"/>
        <v xml:space="preserve">CntrlFurnace   </v>
      </c>
      <c r="U112" s="92">
        <f t="shared" si="28"/>
        <v>0</v>
      </c>
      <c r="V112" s="6">
        <f t="shared" si="29"/>
        <v>0</v>
      </c>
      <c r="W112" s="6">
        <f t="shared" si="30"/>
        <v>0</v>
      </c>
      <c r="X112" s="6">
        <f t="shared" si="31"/>
        <v>0</v>
      </c>
      <c r="Y112" s="61">
        <v>-1</v>
      </c>
      <c r="Z112" s="61" t="s">
        <v>0</v>
      </c>
      <c r="AA112" s="62" t="str">
        <f t="shared" si="40"/>
        <v>WoodHeat - Wood heat meeting exceptional method criteria</v>
      </c>
      <c r="AC112" t="s">
        <v>524</v>
      </c>
    </row>
    <row r="113" spans="3:29" x14ac:dyDescent="0.25">
      <c r="C113" s="61">
        <f t="shared" si="41"/>
        <v>2013</v>
      </c>
      <c r="D113" s="6">
        <f t="shared" si="36"/>
        <v>2015</v>
      </c>
      <c r="E113" t="str">
        <f t="shared" si="26"/>
        <v xml:space="preserve">SplitHeatPump  </v>
      </c>
      <c r="F113" s="67" t="s">
        <v>154</v>
      </c>
      <c r="G113" s="10">
        <v>8.1999999999999993</v>
      </c>
      <c r="H113" s="66" t="s">
        <v>189</v>
      </c>
      <c r="I113" s="66" t="s">
        <v>189</v>
      </c>
      <c r="J113" s="66" t="s">
        <v>188</v>
      </c>
      <c r="K113" s="72">
        <f t="shared" ref="K113:T113" si="43">K89</f>
        <v>1</v>
      </c>
      <c r="L113" s="61">
        <f t="shared" si="43"/>
        <v>1</v>
      </c>
      <c r="M113" s="61">
        <f t="shared" si="43"/>
        <v>1</v>
      </c>
      <c r="N113" s="61">
        <f t="shared" si="43"/>
        <v>1</v>
      </c>
      <c r="O113" s="61">
        <f t="shared" si="43"/>
        <v>0</v>
      </c>
      <c r="P113" s="61">
        <f t="shared" si="43"/>
        <v>0</v>
      </c>
      <c r="Q113" s="96">
        <f t="shared" si="43"/>
        <v>68</v>
      </c>
      <c r="R113" s="96">
        <f t="shared" si="43"/>
        <v>0</v>
      </c>
      <c r="S113" s="75" t="str">
        <f t="shared" si="43"/>
        <v xml:space="preserve">SplitHeatPump  </v>
      </c>
      <c r="T113" s="62" t="str">
        <f t="shared" si="43"/>
        <v>N/A</v>
      </c>
      <c r="U113" s="92">
        <f t="shared" si="28"/>
        <v>0</v>
      </c>
      <c r="V113" s="6">
        <f t="shared" si="29"/>
        <v>1</v>
      </c>
      <c r="W113" s="6">
        <f t="shared" si="30"/>
        <v>0</v>
      </c>
      <c r="X113" s="6">
        <f t="shared" si="31"/>
        <v>0</v>
      </c>
      <c r="Y113" s="61">
        <v>-1</v>
      </c>
      <c r="Z113" s="61" t="s">
        <v>0</v>
      </c>
      <c r="AA113" s="62" t="str">
        <f t="shared" si="40"/>
        <v xml:space="preserve">SplitHeatPump - Heating side of central split heat pump           </v>
      </c>
    </row>
    <row r="114" spans="3:29" x14ac:dyDescent="0.25">
      <c r="C114" s="61">
        <f t="shared" si="41"/>
        <v>2013</v>
      </c>
      <c r="D114" s="6">
        <f t="shared" si="36"/>
        <v>2015</v>
      </c>
      <c r="E114" t="str">
        <f t="shared" si="26"/>
        <v>SDHVSplitHeatPump</v>
      </c>
      <c r="F114" s="67" t="s">
        <v>154</v>
      </c>
      <c r="G114" s="10">
        <v>7.2</v>
      </c>
      <c r="H114" s="66" t="s">
        <v>189</v>
      </c>
      <c r="I114" s="66" t="s">
        <v>189</v>
      </c>
      <c r="J114" s="66" t="s">
        <v>188</v>
      </c>
      <c r="K114" s="72">
        <f t="shared" ref="K114:R114" si="44">K90</f>
        <v>1</v>
      </c>
      <c r="L114" s="61">
        <f t="shared" si="44"/>
        <v>1</v>
      </c>
      <c r="M114" s="61">
        <f t="shared" si="44"/>
        <v>1</v>
      </c>
      <c r="N114" s="61">
        <f t="shared" si="44"/>
        <v>1</v>
      </c>
      <c r="O114" s="61">
        <f t="shared" si="44"/>
        <v>0</v>
      </c>
      <c r="P114" s="61">
        <f t="shared" si="44"/>
        <v>0</v>
      </c>
      <c r="Q114" s="96">
        <f t="shared" si="44"/>
        <v>68</v>
      </c>
      <c r="R114" s="96">
        <f t="shared" si="44"/>
        <v>0</v>
      </c>
      <c r="S114" s="75" t="str">
        <f t="shared" ref="S114:T128" si="45">S90</f>
        <v xml:space="preserve">SplitHeatPump  </v>
      </c>
      <c r="T114" s="62" t="str">
        <f t="shared" si="45"/>
        <v>N/A</v>
      </c>
      <c r="U114" s="92">
        <f t="shared" si="28"/>
        <v>0</v>
      </c>
      <c r="V114" s="6">
        <f t="shared" si="29"/>
        <v>1</v>
      </c>
      <c r="W114" s="6">
        <f t="shared" si="30"/>
        <v>0</v>
      </c>
      <c r="X114" s="6">
        <f t="shared" si="31"/>
        <v>0</v>
      </c>
      <c r="Y114" s="61">
        <v>-1</v>
      </c>
      <c r="Z114" s="61" t="s">
        <v>0</v>
      </c>
      <c r="AA114" s="62" t="str">
        <f t="shared" si="40"/>
        <v xml:space="preserve">SDHVSplitHeatPump - Small duct, high velocity, central split heat pump           </v>
      </c>
    </row>
    <row r="115" spans="3:29" x14ac:dyDescent="0.25">
      <c r="C115" s="61">
        <f t="shared" si="41"/>
        <v>2013</v>
      </c>
      <c r="D115" s="6">
        <f t="shared" si="36"/>
        <v>2015</v>
      </c>
      <c r="E115" t="str">
        <f t="shared" si="26"/>
        <v>DuctlessMiniSplitHeatPump</v>
      </c>
      <c r="F115" s="67" t="s">
        <v>154</v>
      </c>
      <c r="G115" s="10">
        <v>8.1999999999999993</v>
      </c>
      <c r="H115" s="66" t="s">
        <v>189</v>
      </c>
      <c r="I115" s="66" t="s">
        <v>189</v>
      </c>
      <c r="J115" s="66" t="s">
        <v>188</v>
      </c>
      <c r="K115" s="72">
        <f t="shared" ref="K115:R115" si="46">K91</f>
        <v>1</v>
      </c>
      <c r="L115" s="61">
        <f t="shared" si="46"/>
        <v>0</v>
      </c>
      <c r="M115" s="61">
        <f t="shared" si="46"/>
        <v>1</v>
      </c>
      <c r="N115" s="61">
        <f t="shared" si="46"/>
        <v>1</v>
      </c>
      <c r="O115" s="61">
        <f t="shared" si="46"/>
        <v>0</v>
      </c>
      <c r="P115" s="61">
        <f t="shared" si="46"/>
        <v>0</v>
      </c>
      <c r="Q115" s="96">
        <f t="shared" si="46"/>
        <v>68</v>
      </c>
      <c r="R115" s="96">
        <f t="shared" si="46"/>
        <v>1</v>
      </c>
      <c r="S115" s="75" t="str">
        <f t="shared" si="45"/>
        <v>N/A</v>
      </c>
      <c r="T115" s="62" t="str">
        <f t="shared" si="45"/>
        <v xml:space="preserve">SplitHeatPump  </v>
      </c>
      <c r="U115" s="92">
        <f t="shared" si="28"/>
        <v>0</v>
      </c>
      <c r="V115" s="6">
        <f t="shared" si="29"/>
        <v>1</v>
      </c>
      <c r="W115" s="6">
        <f t="shared" si="30"/>
        <v>0</v>
      </c>
      <c r="X115" s="6">
        <f t="shared" si="31"/>
        <v>0</v>
      </c>
      <c r="Y115" s="61">
        <v>-1</v>
      </c>
      <c r="Z115" s="61" t="s">
        <v>0</v>
      </c>
      <c r="AA115" s="62" t="str">
        <f t="shared" si="40"/>
        <v>DuctlessMiniSplitHeatPump – Ductless mini-split heat pump system</v>
      </c>
      <c r="AC115" t="s">
        <v>525</v>
      </c>
    </row>
    <row r="116" spans="3:29" x14ac:dyDescent="0.25">
      <c r="C116" s="61">
        <f t="shared" ref="C116:C128" si="47">C115</f>
        <v>2013</v>
      </c>
      <c r="D116" s="6">
        <f t="shared" si="36"/>
        <v>2015</v>
      </c>
      <c r="E116" t="str">
        <f t="shared" si="26"/>
        <v>DuctlessMultiSplitHeatPump</v>
      </c>
      <c r="F116" s="67" t="s">
        <v>154</v>
      </c>
      <c r="G116" s="10">
        <v>8.1999999999999993</v>
      </c>
      <c r="H116" s="66" t="s">
        <v>189</v>
      </c>
      <c r="I116" s="66" t="s">
        <v>189</v>
      </c>
      <c r="J116" s="66" t="s">
        <v>188</v>
      </c>
      <c r="K116" s="72">
        <f t="shared" ref="K116:R116" si="48">K92</f>
        <v>1</v>
      </c>
      <c r="L116" s="61">
        <f t="shared" si="48"/>
        <v>0</v>
      </c>
      <c r="M116" s="61">
        <f t="shared" si="48"/>
        <v>1</v>
      </c>
      <c r="N116" s="61">
        <f t="shared" si="48"/>
        <v>1</v>
      </c>
      <c r="O116" s="61">
        <f t="shared" si="48"/>
        <v>0</v>
      </c>
      <c r="P116" s="61">
        <f t="shared" si="48"/>
        <v>0</v>
      </c>
      <c r="Q116" s="96">
        <f t="shared" si="48"/>
        <v>68</v>
      </c>
      <c r="R116" s="72">
        <f t="shared" si="48"/>
        <v>1</v>
      </c>
      <c r="S116" s="75" t="str">
        <f t="shared" si="45"/>
        <v>N/A</v>
      </c>
      <c r="T116" s="62" t="str">
        <f t="shared" si="45"/>
        <v xml:space="preserve">SplitHeatPump  </v>
      </c>
      <c r="U116" s="72">
        <f t="shared" si="28"/>
        <v>0</v>
      </c>
      <c r="V116" s="61">
        <f t="shared" si="29"/>
        <v>1</v>
      </c>
      <c r="W116" s="61">
        <f t="shared" si="30"/>
        <v>0</v>
      </c>
      <c r="X116" s="61">
        <f t="shared" si="31"/>
        <v>0</v>
      </c>
      <c r="Y116" s="61">
        <v>-1</v>
      </c>
      <c r="Z116" s="61" t="s">
        <v>0</v>
      </c>
      <c r="AA116" s="62" t="str">
        <f t="shared" si="40"/>
        <v>DuctlessMultiSplitHeatPump - Ductless multi-split heat pump system</v>
      </c>
      <c r="AC116" t="s">
        <v>524</v>
      </c>
    </row>
    <row r="117" spans="3:29" x14ac:dyDescent="0.25">
      <c r="C117" s="61">
        <f t="shared" si="47"/>
        <v>2013</v>
      </c>
      <c r="D117" s="6">
        <f t="shared" si="36"/>
        <v>2015</v>
      </c>
      <c r="E117" t="str">
        <f t="shared" si="26"/>
        <v>DuctlessVRFHeatPump</v>
      </c>
      <c r="F117" s="67" t="s">
        <v>154</v>
      </c>
      <c r="G117" s="10">
        <v>7.7</v>
      </c>
      <c r="H117" s="66" t="s">
        <v>189</v>
      </c>
      <c r="I117" s="66" t="s">
        <v>189</v>
      </c>
      <c r="J117" s="66" t="s">
        <v>188</v>
      </c>
      <c r="K117" s="72">
        <f t="shared" ref="K117:R117" si="49">K93</f>
        <v>1</v>
      </c>
      <c r="L117" s="61">
        <f t="shared" si="49"/>
        <v>0</v>
      </c>
      <c r="M117" s="61">
        <f t="shared" si="49"/>
        <v>1</v>
      </c>
      <c r="N117" s="61">
        <f t="shared" si="49"/>
        <v>1</v>
      </c>
      <c r="O117" s="61">
        <f t="shared" si="49"/>
        <v>0</v>
      </c>
      <c r="P117" s="61">
        <f t="shared" si="49"/>
        <v>0</v>
      </c>
      <c r="Q117" s="96">
        <f t="shared" si="49"/>
        <v>68</v>
      </c>
      <c r="R117" s="72">
        <f t="shared" si="49"/>
        <v>1</v>
      </c>
      <c r="S117" s="75" t="str">
        <f t="shared" si="45"/>
        <v>N/A</v>
      </c>
      <c r="T117" s="62" t="str">
        <f t="shared" si="45"/>
        <v xml:space="preserve">SplitHeatPump  </v>
      </c>
      <c r="U117" s="72">
        <f t="shared" si="28"/>
        <v>0</v>
      </c>
      <c r="V117" s="61">
        <f t="shared" si="29"/>
        <v>1</v>
      </c>
      <c r="W117" s="61">
        <f t="shared" si="30"/>
        <v>0</v>
      </c>
      <c r="X117" s="61">
        <f t="shared" si="31"/>
        <v>0</v>
      </c>
      <c r="Y117" s="61">
        <v>-1</v>
      </c>
      <c r="Z117" s="61" t="s">
        <v>0</v>
      </c>
      <c r="AA117" s="62" t="str">
        <f t="shared" si="40"/>
        <v>DuctlessVRFHeatPump - Ductless variable refrigerant flow (VRF) heat pump system</v>
      </c>
      <c r="AC117" t="s">
        <v>524</v>
      </c>
    </row>
    <row r="118" spans="3:29" x14ac:dyDescent="0.25">
      <c r="C118" s="61">
        <f t="shared" si="47"/>
        <v>2013</v>
      </c>
      <c r="D118" s="6">
        <f t="shared" si="36"/>
        <v>2015</v>
      </c>
      <c r="E118" t="str">
        <f t="shared" si="26"/>
        <v xml:space="preserve">PkgHeatPump    </v>
      </c>
      <c r="F118" s="67" t="s">
        <v>154</v>
      </c>
      <c r="G118" s="55">
        <v>8</v>
      </c>
      <c r="H118" s="66" t="s">
        <v>189</v>
      </c>
      <c r="I118" s="66" t="s">
        <v>189</v>
      </c>
      <c r="J118" s="66" t="s">
        <v>188</v>
      </c>
      <c r="K118" s="72">
        <f t="shared" ref="K118:R118" si="50">K94</f>
        <v>1</v>
      </c>
      <c r="L118" s="61">
        <f t="shared" si="50"/>
        <v>1</v>
      </c>
      <c r="M118" s="61">
        <f t="shared" si="50"/>
        <v>1</v>
      </c>
      <c r="N118" s="61">
        <f t="shared" si="50"/>
        <v>1</v>
      </c>
      <c r="O118" s="61">
        <f t="shared" si="50"/>
        <v>0</v>
      </c>
      <c r="P118" s="61">
        <f t="shared" si="50"/>
        <v>0</v>
      </c>
      <c r="Q118" s="96">
        <f t="shared" si="50"/>
        <v>68</v>
      </c>
      <c r="R118" s="96">
        <f t="shared" si="50"/>
        <v>0</v>
      </c>
      <c r="S118" s="75" t="str">
        <f t="shared" si="45"/>
        <v xml:space="preserve">SplitHeatPump  </v>
      </c>
      <c r="T118" s="62" t="str">
        <f t="shared" si="45"/>
        <v>N/A</v>
      </c>
      <c r="U118" s="92">
        <f t="shared" si="28"/>
        <v>0</v>
      </c>
      <c r="V118" s="6">
        <f t="shared" si="29"/>
        <v>1</v>
      </c>
      <c r="W118" s="6">
        <f t="shared" si="30"/>
        <v>0</v>
      </c>
      <c r="X118" s="6">
        <f t="shared" si="31"/>
        <v>0</v>
      </c>
      <c r="Y118" s="61">
        <v>-1</v>
      </c>
      <c r="Z118" s="61" t="s">
        <v>0</v>
      </c>
      <c r="AA118" s="62" t="str">
        <f t="shared" si="40"/>
        <v xml:space="preserve">PkgHeatPump - Heating side of central packaged heat pump          </v>
      </c>
    </row>
    <row r="119" spans="3:29" x14ac:dyDescent="0.25">
      <c r="C119" s="61">
        <f t="shared" si="47"/>
        <v>2013</v>
      </c>
      <c r="D119" s="6">
        <f t="shared" si="36"/>
        <v>2015</v>
      </c>
      <c r="E119" t="str">
        <f t="shared" si="26"/>
        <v xml:space="preserve">LrgPkgHeatPump </v>
      </c>
      <c r="F119" s="67" t="s">
        <v>154</v>
      </c>
      <c r="G119" s="11">
        <v>0</v>
      </c>
      <c r="H119" s="66" t="s">
        <v>189</v>
      </c>
      <c r="I119" s="66" t="s">
        <v>189</v>
      </c>
      <c r="J119" s="66" t="s">
        <v>188</v>
      </c>
      <c r="K119" s="72">
        <f t="shared" ref="K119:R119" si="51">K95</f>
        <v>0</v>
      </c>
      <c r="L119" s="61">
        <f t="shared" si="51"/>
        <v>1</v>
      </c>
      <c r="M119" s="61">
        <f t="shared" si="51"/>
        <v>1</v>
      </c>
      <c r="N119" s="61">
        <f t="shared" si="51"/>
        <v>1</v>
      </c>
      <c r="O119" s="61">
        <f t="shared" si="51"/>
        <v>0</v>
      </c>
      <c r="P119" s="61">
        <f t="shared" si="51"/>
        <v>0</v>
      </c>
      <c r="Q119" s="96">
        <f t="shared" si="51"/>
        <v>68</v>
      </c>
      <c r="R119" s="96">
        <f t="shared" si="51"/>
        <v>0</v>
      </c>
      <c r="S119" s="75" t="str">
        <f t="shared" si="45"/>
        <v xml:space="preserve">SplitHeatPump  </v>
      </c>
      <c r="T119" s="62" t="str">
        <f t="shared" si="45"/>
        <v>N/A</v>
      </c>
      <c r="U119" s="92">
        <f t="shared" si="28"/>
        <v>0</v>
      </c>
      <c r="V119" s="6">
        <f t="shared" si="29"/>
        <v>0</v>
      </c>
      <c r="W119" s="6">
        <f t="shared" si="30"/>
        <v>0</v>
      </c>
      <c r="X119" s="6">
        <f t="shared" si="31"/>
        <v>0</v>
      </c>
      <c r="Y119" s="61">
        <v>-1</v>
      </c>
      <c r="Z119" s="61" t="s">
        <v>0</v>
      </c>
      <c r="AA119" s="62" t="str">
        <f t="shared" si="40"/>
        <v>LrgPkgHeatPump - Heating side of large (&gt;= 65 kBtuh) packaged unit</v>
      </c>
    </row>
    <row r="120" spans="3:29" x14ac:dyDescent="0.25">
      <c r="C120" s="61">
        <f t="shared" si="47"/>
        <v>2013</v>
      </c>
      <c r="D120" s="6">
        <f t="shared" si="36"/>
        <v>2015</v>
      </c>
      <c r="E120" t="str">
        <f t="shared" si="26"/>
        <v xml:space="preserve">RoomHeatPump   </v>
      </c>
      <c r="F120" s="67" t="s">
        <v>154</v>
      </c>
      <c r="G120" s="55">
        <v>7.4</v>
      </c>
      <c r="H120" s="66" t="s">
        <v>189</v>
      </c>
      <c r="I120" s="66" t="s">
        <v>189</v>
      </c>
      <c r="J120" s="66" t="s">
        <v>188</v>
      </c>
      <c r="K120" s="72">
        <f t="shared" ref="K120:R120" si="52">K96</f>
        <v>1</v>
      </c>
      <c r="L120" s="61">
        <f t="shared" si="52"/>
        <v>0</v>
      </c>
      <c r="M120" s="61">
        <f t="shared" si="52"/>
        <v>1</v>
      </c>
      <c r="N120" s="61">
        <f t="shared" si="52"/>
        <v>1</v>
      </c>
      <c r="O120" s="61">
        <f t="shared" si="52"/>
        <v>0</v>
      </c>
      <c r="P120" s="61">
        <f t="shared" si="52"/>
        <v>0</v>
      </c>
      <c r="Q120" s="96">
        <f t="shared" si="52"/>
        <v>68</v>
      </c>
      <c r="R120" s="96">
        <f t="shared" si="52"/>
        <v>1</v>
      </c>
      <c r="S120" s="75" t="str">
        <f t="shared" si="45"/>
        <v>N/A</v>
      </c>
      <c r="T120" s="62" t="str">
        <f t="shared" si="45"/>
        <v xml:space="preserve">SplitHeatPump  </v>
      </c>
      <c r="U120" s="92">
        <f t="shared" si="28"/>
        <v>0</v>
      </c>
      <c r="V120" s="6">
        <f t="shared" si="29"/>
        <v>1</v>
      </c>
      <c r="W120" s="6">
        <f t="shared" si="30"/>
        <v>0</v>
      </c>
      <c r="X120" s="6">
        <f t="shared" si="31"/>
        <v>0</v>
      </c>
      <c r="Y120" s="61">
        <v>-1</v>
      </c>
      <c r="Z120" s="61" t="s">
        <v>0</v>
      </c>
      <c r="AA120" s="62" t="str">
        <f t="shared" si="40"/>
        <v xml:space="preserve">RoomHeatPump - Heating side of non-central room A/C system        </v>
      </c>
    </row>
    <row r="121" spans="3:29" x14ac:dyDescent="0.25">
      <c r="C121" s="61">
        <f t="shared" si="47"/>
        <v>2013</v>
      </c>
      <c r="D121" s="6">
        <f t="shared" si="36"/>
        <v>2015</v>
      </c>
      <c r="E121" t="str">
        <f t="shared" si="26"/>
        <v xml:space="preserve">Electric       </v>
      </c>
      <c r="F121" s="67" t="s">
        <v>154</v>
      </c>
      <c r="G121" s="10">
        <v>8.1999999999999993</v>
      </c>
      <c r="H121" s="66" t="s">
        <v>189</v>
      </c>
      <c r="I121" s="66" t="s">
        <v>189</v>
      </c>
      <c r="J121" s="66" t="s">
        <v>188</v>
      </c>
      <c r="K121" s="72">
        <f t="shared" ref="K121:R121" si="53">K97</f>
        <v>1</v>
      </c>
      <c r="L121" s="61">
        <f t="shared" si="53"/>
        <v>-1</v>
      </c>
      <c r="M121" s="61">
        <f t="shared" si="53"/>
        <v>0</v>
      </c>
      <c r="N121" s="61">
        <f t="shared" si="53"/>
        <v>1</v>
      </c>
      <c r="O121" s="61">
        <f t="shared" si="53"/>
        <v>0</v>
      </c>
      <c r="P121" s="61">
        <f t="shared" si="53"/>
        <v>0</v>
      </c>
      <c r="Q121" s="96">
        <f t="shared" si="53"/>
        <v>-1</v>
      </c>
      <c r="R121" s="96">
        <f t="shared" si="53"/>
        <v>0</v>
      </c>
      <c r="S121" s="75" t="str">
        <f t="shared" si="45"/>
        <v xml:space="preserve">SplitHeatPump  </v>
      </c>
      <c r="T121" s="62" t="str">
        <f t="shared" si="45"/>
        <v xml:space="preserve">SplitHeatPump  </v>
      </c>
      <c r="U121" s="92">
        <f t="shared" si="28"/>
        <v>0</v>
      </c>
      <c r="V121" s="6">
        <f t="shared" si="29"/>
        <v>1</v>
      </c>
      <c r="W121" s="6">
        <f t="shared" si="30"/>
        <v>0</v>
      </c>
      <c r="X121" s="6">
        <f t="shared" si="31"/>
        <v>0</v>
      </c>
      <c r="Y121" s="61">
        <v>-1</v>
      </c>
      <c r="Z121" s="61" t="s">
        <v>0</v>
      </c>
      <c r="AA121" s="62" t="str">
        <f t="shared" si="40"/>
        <v xml:space="preserve">Electric - All electric heating systems other than heat pump      </v>
      </c>
    </row>
    <row r="122" spans="3:29" x14ac:dyDescent="0.25">
      <c r="C122" s="61">
        <f t="shared" si="47"/>
        <v>2013</v>
      </c>
      <c r="D122" s="6">
        <f t="shared" si="36"/>
        <v>2015</v>
      </c>
      <c r="E122" t="str">
        <f t="shared" si="26"/>
        <v xml:space="preserve">CombHydro      </v>
      </c>
      <c r="F122" s="67" t="s">
        <v>154</v>
      </c>
      <c r="G122" s="66" t="s">
        <v>155</v>
      </c>
      <c r="H122" s="66" t="s">
        <v>189</v>
      </c>
      <c r="I122" s="66" t="s">
        <v>189</v>
      </c>
      <c r="J122" s="66" t="s">
        <v>188</v>
      </c>
      <c r="K122" s="72">
        <f t="shared" ref="K122:R122" si="54">K98</f>
        <v>1</v>
      </c>
      <c r="L122" s="61">
        <f t="shared" si="54"/>
        <v>-1</v>
      </c>
      <c r="M122" s="61">
        <f t="shared" si="54"/>
        <v>0</v>
      </c>
      <c r="N122" s="61">
        <f t="shared" si="54"/>
        <v>0</v>
      </c>
      <c r="O122" s="61">
        <f t="shared" si="54"/>
        <v>1</v>
      </c>
      <c r="P122" s="61">
        <f t="shared" si="54"/>
        <v>0</v>
      </c>
      <c r="Q122" s="96">
        <f t="shared" si="54"/>
        <v>-1</v>
      </c>
      <c r="R122" s="96">
        <f t="shared" si="54"/>
        <v>0</v>
      </c>
      <c r="S122" s="75" t="str">
        <f t="shared" si="45"/>
        <v xml:space="preserve">CntrlFurnace   </v>
      </c>
      <c r="T122" s="62" t="str">
        <f t="shared" si="45"/>
        <v xml:space="preserve">CntrlFurnace   </v>
      </c>
      <c r="U122" s="92">
        <f t="shared" si="28"/>
        <v>0</v>
      </c>
      <c r="V122" s="6">
        <f t="shared" si="29"/>
        <v>0</v>
      </c>
      <c r="W122" s="6">
        <f t="shared" si="30"/>
        <v>0</v>
      </c>
      <c r="X122" s="6">
        <f t="shared" si="31"/>
        <v>0</v>
      </c>
      <c r="Y122" s="61">
        <v>-1</v>
      </c>
      <c r="Z122" s="61" t="s">
        <v>0</v>
      </c>
      <c r="AA122" s="62" t="str">
        <f t="shared" si="40"/>
        <v xml:space="preserve">CombHydro - Water heating system can be storage gas/elec/ht pump  </v>
      </c>
    </row>
    <row r="123" spans="3:29" x14ac:dyDescent="0.25">
      <c r="C123" s="61">
        <f t="shared" si="47"/>
        <v>2013</v>
      </c>
      <c r="D123" s="6">
        <f t="shared" si="36"/>
        <v>2015</v>
      </c>
      <c r="E123" t="str">
        <f t="shared" si="26"/>
        <v>ElecCombHydro</v>
      </c>
      <c r="F123" s="67" t="s">
        <v>154</v>
      </c>
      <c r="G123" s="66" t="s">
        <v>155</v>
      </c>
      <c r="H123" s="66" t="s">
        <v>189</v>
      </c>
      <c r="I123" s="66" t="s">
        <v>189</v>
      </c>
      <c r="J123" s="66" t="s">
        <v>188</v>
      </c>
      <c r="K123" s="72">
        <f t="shared" ref="K123:R123" si="55">K99</f>
        <v>1</v>
      </c>
      <c r="L123" s="61">
        <f t="shared" si="55"/>
        <v>-1</v>
      </c>
      <c r="M123" s="61">
        <f t="shared" si="55"/>
        <v>0</v>
      </c>
      <c r="N123" s="61">
        <f t="shared" si="55"/>
        <v>1</v>
      </c>
      <c r="O123" s="61">
        <f t="shared" si="55"/>
        <v>0</v>
      </c>
      <c r="P123" s="61">
        <f t="shared" si="55"/>
        <v>0</v>
      </c>
      <c r="Q123" s="96">
        <f t="shared" si="55"/>
        <v>-1</v>
      </c>
      <c r="R123" s="96">
        <f t="shared" si="55"/>
        <v>0</v>
      </c>
      <c r="S123" s="75" t="str">
        <f t="shared" si="45"/>
        <v xml:space="preserve">SplitHeatPump  </v>
      </c>
      <c r="T123" s="62" t="str">
        <f t="shared" si="45"/>
        <v xml:space="preserve">SplitHeatPump  </v>
      </c>
      <c r="U123" s="92">
        <f t="shared" si="28"/>
        <v>0</v>
      </c>
      <c r="V123" s="6">
        <f t="shared" si="29"/>
        <v>0</v>
      </c>
      <c r="W123" s="6">
        <f t="shared" si="30"/>
        <v>0</v>
      </c>
      <c r="X123" s="6">
        <f t="shared" si="31"/>
        <v>0</v>
      </c>
      <c r="Y123" s="61">
        <v>-1</v>
      </c>
      <c r="Z123" s="61" t="s">
        <v>0</v>
      </c>
      <c r="AA123" s="62" t="str">
        <f t="shared" si="40"/>
        <v xml:space="preserve">CombHydro - Water heating system can be storage gas/elec/ht pump  </v>
      </c>
    </row>
    <row r="124" spans="3:29" x14ac:dyDescent="0.25">
      <c r="C124" s="61">
        <f t="shared" si="47"/>
        <v>2013</v>
      </c>
      <c r="D124" s="6">
        <f t="shared" si="36"/>
        <v>2015</v>
      </c>
      <c r="E124" t="str">
        <f t="shared" si="26"/>
        <v>AirToWaterHeatPump</v>
      </c>
      <c r="F124" s="67" t="s">
        <v>154</v>
      </c>
      <c r="G124" s="66" t="s">
        <v>155</v>
      </c>
      <c r="H124" s="66" t="s">
        <v>189</v>
      </c>
      <c r="I124" s="66" t="s">
        <v>189</v>
      </c>
      <c r="J124" s="66" t="s">
        <v>188</v>
      </c>
      <c r="K124" s="72">
        <f t="shared" ref="K124:R124" si="56">K100</f>
        <v>1</v>
      </c>
      <c r="L124" s="61">
        <f t="shared" si="56"/>
        <v>-1</v>
      </c>
      <c r="M124" s="61">
        <f t="shared" si="56"/>
        <v>1</v>
      </c>
      <c r="N124" s="61">
        <f t="shared" si="56"/>
        <v>1</v>
      </c>
      <c r="O124" s="61">
        <f t="shared" si="56"/>
        <v>0</v>
      </c>
      <c r="P124" s="61">
        <f t="shared" si="56"/>
        <v>1</v>
      </c>
      <c r="Q124" s="96">
        <f t="shared" si="56"/>
        <v>68</v>
      </c>
      <c r="R124" s="96">
        <f t="shared" si="56"/>
        <v>0</v>
      </c>
      <c r="S124" s="75" t="str">
        <f t="shared" si="45"/>
        <v xml:space="preserve">SplitHeatPump  </v>
      </c>
      <c r="T124" s="62" t="str">
        <f t="shared" si="45"/>
        <v xml:space="preserve">SplitHeatPump  </v>
      </c>
      <c r="U124" s="92">
        <f t="shared" si="28"/>
        <v>0</v>
      </c>
      <c r="V124" s="6">
        <f t="shared" si="29"/>
        <v>0</v>
      </c>
      <c r="W124" s="6">
        <f t="shared" si="30"/>
        <v>0</v>
      </c>
      <c r="X124" s="6">
        <f t="shared" si="31"/>
        <v>0</v>
      </c>
      <c r="Y124" s="61">
        <v>-1</v>
      </c>
      <c r="Z124" s="61" t="s">
        <v>0</v>
      </c>
      <c r="AA124" s="62" t="str">
        <f t="shared" si="40"/>
        <v>AirToWaterHeatPump - Air to water heat pump (able to heat DHW)</v>
      </c>
    </row>
    <row r="125" spans="3:29" x14ac:dyDescent="0.25">
      <c r="C125" s="61">
        <f t="shared" si="47"/>
        <v>2013</v>
      </c>
      <c r="D125" s="6">
        <f t="shared" si="36"/>
        <v>2015</v>
      </c>
      <c r="E125" t="str">
        <f t="shared" si="26"/>
        <v>GroundSourceHeatPump</v>
      </c>
      <c r="F125" s="67" t="s">
        <v>154</v>
      </c>
      <c r="G125" s="10">
        <v>8.1999999999999993</v>
      </c>
      <c r="H125" s="66" t="s">
        <v>189</v>
      </c>
      <c r="I125" s="66" t="s">
        <v>189</v>
      </c>
      <c r="J125" s="66" t="s">
        <v>188</v>
      </c>
      <c r="K125" s="72">
        <f t="shared" ref="K125:R128" si="57">K101</f>
        <v>1</v>
      </c>
      <c r="L125" s="61">
        <f t="shared" si="57"/>
        <v>-1</v>
      </c>
      <c r="M125" s="61">
        <f t="shared" si="57"/>
        <v>1</v>
      </c>
      <c r="N125" s="61">
        <f t="shared" si="57"/>
        <v>1</v>
      </c>
      <c r="O125" s="61">
        <f t="shared" si="57"/>
        <v>0</v>
      </c>
      <c r="P125" s="61">
        <f t="shared" si="57"/>
        <v>1</v>
      </c>
      <c r="Q125" s="96">
        <f t="shared" si="57"/>
        <v>68</v>
      </c>
      <c r="R125" s="96">
        <f t="shared" si="57"/>
        <v>1</v>
      </c>
      <c r="S125" s="75" t="str">
        <f t="shared" si="45"/>
        <v xml:space="preserve">SplitHeatPump  </v>
      </c>
      <c r="T125" s="62" t="str">
        <f t="shared" si="45"/>
        <v xml:space="preserve">SplitHeatPump  </v>
      </c>
      <c r="U125" s="92">
        <f t="shared" si="28"/>
        <v>0</v>
      </c>
      <c r="V125" s="6">
        <f t="shared" si="29"/>
        <v>1</v>
      </c>
      <c r="W125" s="6">
        <f t="shared" si="30"/>
        <v>0</v>
      </c>
      <c r="X125" s="6">
        <f t="shared" si="31"/>
        <v>0</v>
      </c>
      <c r="Y125" s="61">
        <v>-1</v>
      </c>
      <c r="Z125" s="61" t="s">
        <v>0</v>
      </c>
      <c r="AA125" s="62" t="str">
        <f t="shared" si="40"/>
        <v>GroundSourceHeatPump - Ground source heat pump (able to heat DHW)</v>
      </c>
    </row>
    <row r="126" spans="3:29" x14ac:dyDescent="0.25">
      <c r="C126" s="61">
        <f t="shared" si="47"/>
        <v>2013</v>
      </c>
      <c r="D126" s="6">
        <f t="shared" si="36"/>
        <v>2015</v>
      </c>
      <c r="E126" t="s">
        <v>549</v>
      </c>
      <c r="F126" s="67" t="s">
        <v>154</v>
      </c>
      <c r="G126" s="10">
        <v>8.1999999999999993</v>
      </c>
      <c r="H126" s="66" t="s">
        <v>189</v>
      </c>
      <c r="I126" s="66" t="s">
        <v>189</v>
      </c>
      <c r="J126" s="66" t="s">
        <v>188</v>
      </c>
      <c r="K126" s="72">
        <f t="shared" si="57"/>
        <v>1</v>
      </c>
      <c r="L126" s="61">
        <f t="shared" si="57"/>
        <v>-1</v>
      </c>
      <c r="M126" s="61">
        <f t="shared" si="57"/>
        <v>1</v>
      </c>
      <c r="N126" s="61">
        <f t="shared" si="57"/>
        <v>1</v>
      </c>
      <c r="O126" s="61">
        <f t="shared" si="57"/>
        <v>0</v>
      </c>
      <c r="P126" s="61">
        <f t="shared" si="57"/>
        <v>0</v>
      </c>
      <c r="Q126" s="96">
        <f t="shared" si="57"/>
        <v>68</v>
      </c>
      <c r="R126" s="96">
        <f t="shared" si="57"/>
        <v>0</v>
      </c>
      <c r="S126" s="75" t="str">
        <f t="shared" si="45"/>
        <v xml:space="preserve">SplitHeatPump  </v>
      </c>
      <c r="T126" s="62" t="str">
        <f t="shared" si="45"/>
        <v xml:space="preserve">SplitHeatPump  </v>
      </c>
      <c r="U126" s="92">
        <f t="shared" ref="U126" si="58">IF(AND(ISNUMBER(F126), F126&gt;0), 1, 0)</f>
        <v>0</v>
      </c>
      <c r="V126" s="6">
        <f t="shared" si="29"/>
        <v>1</v>
      </c>
      <c r="W126" s="6">
        <f t="shared" si="30"/>
        <v>0</v>
      </c>
      <c r="X126" s="6">
        <f t="shared" ref="X126" si="59">IF(AND(ISNUMBER(J126), J126&gt;0), 1, 0)</f>
        <v>0</v>
      </c>
      <c r="Y126" s="61">
        <v>-1</v>
      </c>
      <c r="Z126" s="61" t="s">
        <v>0</v>
      </c>
      <c r="AA126" s="62" t="str">
        <f t="shared" si="40"/>
        <v>VCHP - Variable Capacity Heat Pump</v>
      </c>
      <c r="AC126" t="s">
        <v>551</v>
      </c>
    </row>
    <row r="127" spans="3:29" x14ac:dyDescent="0.25">
      <c r="C127" s="61">
        <f t="shared" si="47"/>
        <v>2013</v>
      </c>
      <c r="D127" s="6">
        <f t="shared" si="36"/>
        <v>2015</v>
      </c>
      <c r="E127" t="s">
        <v>728</v>
      </c>
      <c r="F127" s="67" t="s">
        <v>154</v>
      </c>
      <c r="G127" s="10">
        <v>8.1999999999999993</v>
      </c>
      <c r="H127" s="66" t="s">
        <v>189</v>
      </c>
      <c r="I127" s="66" t="s">
        <v>189</v>
      </c>
      <c r="J127" s="66" t="s">
        <v>188</v>
      </c>
      <c r="K127" s="72">
        <f t="shared" si="57"/>
        <v>1</v>
      </c>
      <c r="L127" s="61">
        <f t="shared" si="57"/>
        <v>-1</v>
      </c>
      <c r="M127" s="61">
        <f t="shared" si="57"/>
        <v>1</v>
      </c>
      <c r="N127" s="61">
        <f t="shared" si="57"/>
        <v>1</v>
      </c>
      <c r="O127" s="61">
        <f t="shared" si="57"/>
        <v>0</v>
      </c>
      <c r="P127" s="61">
        <f t="shared" si="57"/>
        <v>0</v>
      </c>
      <c r="Q127" s="96">
        <f t="shared" si="57"/>
        <v>68</v>
      </c>
      <c r="R127" s="96">
        <f t="shared" si="57"/>
        <v>0</v>
      </c>
      <c r="S127" s="75" t="str">
        <f t="shared" si="45"/>
        <v xml:space="preserve">SplitHeatPump  </v>
      </c>
      <c r="T127" s="62" t="str">
        <f t="shared" si="45"/>
        <v xml:space="preserve">SplitHeatPump  </v>
      </c>
      <c r="U127" s="92">
        <f t="shared" ref="U127" si="60">IF(AND(ISNUMBER(F127), F127&gt;0), 1, 0)</f>
        <v>0</v>
      </c>
      <c r="V127" s="6">
        <f t="shared" ref="V127" si="61">IF(AND(ISNUMBER(G127), G127&gt;0), 1, 0)</f>
        <v>1</v>
      </c>
      <c r="W127" s="6">
        <f t="shared" si="30"/>
        <v>0</v>
      </c>
      <c r="X127" s="6">
        <f t="shared" ref="X127" si="62">IF(AND(ISNUMBER(J127), J127&gt;0), 1, 0)</f>
        <v>0</v>
      </c>
      <c r="Y127" s="61">
        <v>-1</v>
      </c>
      <c r="Z127" s="61" t="s">
        <v>0</v>
      </c>
      <c r="AA127" s="62" t="str">
        <f t="shared" si="40"/>
        <v>VCHP2 - Variable Capacity Heat Pump</v>
      </c>
      <c r="AC127" t="s">
        <v>551</v>
      </c>
    </row>
    <row r="128" spans="3:29" x14ac:dyDescent="0.25">
      <c r="C128" s="61">
        <f t="shared" si="47"/>
        <v>2013</v>
      </c>
      <c r="D128" s="6">
        <f t="shared" si="36"/>
        <v>2015</v>
      </c>
      <c r="E128" t="s">
        <v>1065</v>
      </c>
      <c r="F128" s="67" t="s">
        <v>154</v>
      </c>
      <c r="G128" s="10">
        <v>8.1999999999999993</v>
      </c>
      <c r="H128" s="66" t="s">
        <v>189</v>
      </c>
      <c r="I128" s="66" t="s">
        <v>189</v>
      </c>
      <c r="J128" s="66" t="s">
        <v>188</v>
      </c>
      <c r="K128" s="72">
        <f t="shared" si="57"/>
        <v>1</v>
      </c>
      <c r="L128" s="61">
        <f t="shared" si="57"/>
        <v>-1</v>
      </c>
      <c r="M128" s="61">
        <f t="shared" si="57"/>
        <v>1</v>
      </c>
      <c r="N128" s="61">
        <f t="shared" si="57"/>
        <v>1</v>
      </c>
      <c r="O128" s="61">
        <f t="shared" si="57"/>
        <v>0</v>
      </c>
      <c r="P128" s="61">
        <f t="shared" si="57"/>
        <v>0</v>
      </c>
      <c r="Q128" s="96">
        <f t="shared" si="57"/>
        <v>68</v>
      </c>
      <c r="R128" s="96">
        <f t="shared" si="57"/>
        <v>0</v>
      </c>
      <c r="S128" s="75" t="str">
        <f t="shared" si="45"/>
        <v xml:space="preserve">SplitHeatPump  </v>
      </c>
      <c r="T128" s="62" t="str">
        <f t="shared" si="45"/>
        <v xml:space="preserve">SplitHeatPump  </v>
      </c>
      <c r="U128" s="92">
        <f t="shared" ref="U128" si="63">IF(AND(ISNUMBER(F128), F128&gt;0), 1, 0)</f>
        <v>0</v>
      </c>
      <c r="V128" s="6">
        <f t="shared" ref="V128" si="64">IF(AND(ISNUMBER(G128), G128&gt;0), 1, 0)</f>
        <v>1</v>
      </c>
      <c r="W128" s="6">
        <f t="shared" ref="W128" si="65">IF(AND(ISNUMBER(H128), H128&gt;0), 1, 0)</f>
        <v>0</v>
      </c>
      <c r="X128" s="6">
        <f t="shared" ref="X128" si="66">IF(AND(ISNUMBER(J128), J128&gt;0), 1, 0)</f>
        <v>0</v>
      </c>
      <c r="Y128" s="61">
        <v>-1</v>
      </c>
      <c r="Z128" s="61" t="s">
        <v>0</v>
      </c>
      <c r="AA128" s="62" t="str">
        <f t="shared" si="40"/>
        <v>VCHP3</v>
      </c>
      <c r="AC128" t="s">
        <v>551</v>
      </c>
    </row>
    <row r="129" spans="1:29" ht="6.75" customHeight="1" x14ac:dyDescent="0.25">
      <c r="A129" t="s">
        <v>0</v>
      </c>
      <c r="C129" s="57"/>
      <c r="D129" s="57"/>
      <c r="E129" s="58"/>
      <c r="F129" s="57"/>
      <c r="G129" s="57"/>
      <c r="H129" s="57"/>
      <c r="I129" s="57"/>
      <c r="J129" s="57"/>
      <c r="K129" s="59"/>
      <c r="L129" s="59"/>
      <c r="M129" s="59"/>
      <c r="N129" s="59"/>
      <c r="O129" s="59"/>
      <c r="P129" s="59"/>
      <c r="Q129" s="59"/>
      <c r="R129" s="59"/>
      <c r="S129" s="58"/>
      <c r="T129" s="58"/>
      <c r="U129" s="58"/>
      <c r="V129" s="58"/>
      <c r="W129" s="58"/>
      <c r="X129" s="58"/>
      <c r="Y129" s="58"/>
    </row>
    <row r="130" spans="1:29" x14ac:dyDescent="0.25">
      <c r="A130" t="s">
        <v>434</v>
      </c>
      <c r="D130" s="126"/>
      <c r="E130" s="126"/>
      <c r="F130" s="126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6"/>
    </row>
    <row r="131" spans="1:29" x14ac:dyDescent="0.25">
      <c r="C131" s="60">
        <v>2008</v>
      </c>
      <c r="D131" s="60">
        <v>2010</v>
      </c>
      <c r="E131" t="s">
        <v>141</v>
      </c>
      <c r="F131" s="69">
        <v>78</v>
      </c>
      <c r="G131" s="66" t="s">
        <v>155</v>
      </c>
      <c r="H131" s="66" t="s">
        <v>189</v>
      </c>
      <c r="I131" s="66" t="s">
        <v>189</v>
      </c>
      <c r="J131" s="66" t="s">
        <v>188</v>
      </c>
      <c r="K131" s="16">
        <v>1</v>
      </c>
      <c r="L131" s="1">
        <v>1</v>
      </c>
      <c r="M131" s="48">
        <v>0</v>
      </c>
      <c r="N131" s="1">
        <v>0</v>
      </c>
      <c r="O131" s="1">
        <v>1</v>
      </c>
      <c r="P131" s="1">
        <v>0</v>
      </c>
      <c r="Q131" s="80">
        <v>-1</v>
      </c>
      <c r="R131" s="92">
        <v>0</v>
      </c>
      <c r="S131" s="43" t="s">
        <v>141</v>
      </c>
      <c r="T131" s="24" t="s">
        <v>227</v>
      </c>
      <c r="U131" s="70">
        <f t="shared" ref="U131:U151" si="67">IF(AND(ISNUMBER(F131), F131&gt;0), 1, 0)</f>
        <v>1</v>
      </c>
      <c r="V131" s="48">
        <f t="shared" ref="V131:V151" si="68">IF(AND(ISNUMBER(G131), G131&gt;0), 1, 0)</f>
        <v>0</v>
      </c>
      <c r="W131" s="48">
        <f t="shared" ref="W131:W152" si="69">IF(AND(ISNUMBER(H131), H131&gt;0), 1, 0)</f>
        <v>0</v>
      </c>
      <c r="X131" s="48">
        <f t="shared" ref="X131:X151" si="70">IF(AND(ISNUMBER(J131), J131&gt;0), 1, 0)</f>
        <v>0</v>
      </c>
      <c r="Y131" s="61">
        <v>-1</v>
      </c>
      <c r="Z131" s="61" t="s">
        <v>0</v>
      </c>
      <c r="AA131" t="s">
        <v>13</v>
      </c>
    </row>
    <row r="132" spans="1:29" x14ac:dyDescent="0.25">
      <c r="C132" s="61">
        <f>C131</f>
        <v>2008</v>
      </c>
      <c r="D132" s="6">
        <f>D131</f>
        <v>2010</v>
      </c>
      <c r="E132" t="s">
        <v>385</v>
      </c>
      <c r="F132" s="51">
        <v>75</v>
      </c>
      <c r="G132" s="66" t="s">
        <v>155</v>
      </c>
      <c r="H132" s="66" t="s">
        <v>189</v>
      </c>
      <c r="I132" s="66" t="s">
        <v>189</v>
      </c>
      <c r="J132" s="66" t="s">
        <v>188</v>
      </c>
      <c r="K132" s="16">
        <v>1</v>
      </c>
      <c r="L132" s="1">
        <v>0</v>
      </c>
      <c r="M132" s="48">
        <v>0</v>
      </c>
      <c r="N132" s="1">
        <v>0</v>
      </c>
      <c r="O132" s="1">
        <v>1</v>
      </c>
      <c r="P132" s="1">
        <v>0</v>
      </c>
      <c r="Q132" s="80">
        <v>-1</v>
      </c>
      <c r="R132" s="92">
        <v>0</v>
      </c>
      <c r="S132" s="74" t="s">
        <v>227</v>
      </c>
      <c r="T132" s="124" t="s">
        <v>141</v>
      </c>
      <c r="U132" s="70">
        <f t="shared" si="67"/>
        <v>1</v>
      </c>
      <c r="V132" s="48">
        <f t="shared" si="68"/>
        <v>0</v>
      </c>
      <c r="W132" s="48">
        <f t="shared" si="69"/>
        <v>0</v>
      </c>
      <c r="X132" s="48">
        <f t="shared" si="70"/>
        <v>0</v>
      </c>
      <c r="Y132" s="61">
        <v>-1</v>
      </c>
      <c r="Z132" s="61" t="s">
        <v>0</v>
      </c>
      <c r="AA132" t="s">
        <v>679</v>
      </c>
    </row>
    <row r="133" spans="1:29" x14ac:dyDescent="0.25">
      <c r="C133" s="61">
        <f t="shared" ref="C133:C149" si="71">C132</f>
        <v>2008</v>
      </c>
      <c r="D133" s="6">
        <f t="shared" ref="D133:D153" si="72">D132</f>
        <v>2010</v>
      </c>
      <c r="E133" t="s">
        <v>386</v>
      </c>
      <c r="F133" s="51">
        <v>65</v>
      </c>
      <c r="G133" s="66" t="s">
        <v>155</v>
      </c>
      <c r="H133" s="66" t="s">
        <v>189</v>
      </c>
      <c r="I133" s="66" t="s">
        <v>189</v>
      </c>
      <c r="J133" s="66" t="s">
        <v>188</v>
      </c>
      <c r="K133" s="16">
        <v>1</v>
      </c>
      <c r="L133" s="1">
        <v>0</v>
      </c>
      <c r="M133" s="48">
        <v>0</v>
      </c>
      <c r="N133" s="1">
        <v>0</v>
      </c>
      <c r="O133" s="1">
        <v>1</v>
      </c>
      <c r="P133" s="1">
        <v>0</v>
      </c>
      <c r="Q133" s="80">
        <v>-1</v>
      </c>
      <c r="R133" s="92">
        <v>0</v>
      </c>
      <c r="S133" s="74" t="s">
        <v>227</v>
      </c>
      <c r="T133" s="124" t="s">
        <v>141</v>
      </c>
      <c r="U133" s="70">
        <f t="shared" si="67"/>
        <v>1</v>
      </c>
      <c r="V133" s="48">
        <f t="shared" si="68"/>
        <v>0</v>
      </c>
      <c r="W133" s="48">
        <f t="shared" si="69"/>
        <v>0</v>
      </c>
      <c r="X133" s="48">
        <f t="shared" si="70"/>
        <v>0</v>
      </c>
      <c r="Y133" s="61">
        <v>-1</v>
      </c>
      <c r="Z133" s="61" t="s">
        <v>0</v>
      </c>
      <c r="AA133" t="s">
        <v>680</v>
      </c>
    </row>
    <row r="134" spans="1:29" x14ac:dyDescent="0.25">
      <c r="C134" s="61">
        <f t="shared" si="71"/>
        <v>2008</v>
      </c>
      <c r="D134" s="6">
        <f t="shared" si="72"/>
        <v>2010</v>
      </c>
      <c r="E134" t="s">
        <v>383</v>
      </c>
      <c r="F134" s="51">
        <v>57</v>
      </c>
      <c r="G134" s="66" t="s">
        <v>155</v>
      </c>
      <c r="H134" s="66" t="s">
        <v>189</v>
      </c>
      <c r="I134" s="66" t="s">
        <v>189</v>
      </c>
      <c r="J134" s="66" t="s">
        <v>188</v>
      </c>
      <c r="K134" s="16">
        <v>1</v>
      </c>
      <c r="L134" s="1">
        <v>0</v>
      </c>
      <c r="M134" s="48">
        <v>0</v>
      </c>
      <c r="N134" s="1">
        <v>0</v>
      </c>
      <c r="O134" s="1">
        <v>1</v>
      </c>
      <c r="P134" s="1">
        <v>0</v>
      </c>
      <c r="Q134" s="80">
        <v>-1</v>
      </c>
      <c r="R134" s="92">
        <v>0</v>
      </c>
      <c r="S134" s="74" t="s">
        <v>227</v>
      </c>
      <c r="T134" s="124" t="s">
        <v>141</v>
      </c>
      <c r="U134" s="70">
        <f t="shared" si="67"/>
        <v>1</v>
      </c>
      <c r="V134" s="48">
        <f t="shared" si="68"/>
        <v>0</v>
      </c>
      <c r="W134" s="48">
        <f t="shared" si="69"/>
        <v>0</v>
      </c>
      <c r="X134" s="48">
        <f t="shared" si="70"/>
        <v>0</v>
      </c>
      <c r="Y134" s="61">
        <v>-1</v>
      </c>
      <c r="Z134" s="61" t="s">
        <v>0</v>
      </c>
      <c r="AA134" t="s">
        <v>681</v>
      </c>
    </row>
    <row r="135" spans="1:29" x14ac:dyDescent="0.25">
      <c r="C135" s="61">
        <f t="shared" si="71"/>
        <v>2008</v>
      </c>
      <c r="D135" s="6">
        <f t="shared" si="72"/>
        <v>2010</v>
      </c>
      <c r="E135" t="s">
        <v>384</v>
      </c>
      <c r="F135" s="51">
        <v>61</v>
      </c>
      <c r="G135" s="66" t="s">
        <v>155</v>
      </c>
      <c r="H135" s="66" t="s">
        <v>189</v>
      </c>
      <c r="I135" s="66" t="s">
        <v>189</v>
      </c>
      <c r="J135" s="66" t="s">
        <v>188</v>
      </c>
      <c r="K135" s="16">
        <v>1</v>
      </c>
      <c r="L135" s="1">
        <v>0</v>
      </c>
      <c r="M135" s="48">
        <v>0</v>
      </c>
      <c r="N135" s="1">
        <v>0</v>
      </c>
      <c r="O135" s="1">
        <v>1</v>
      </c>
      <c r="P135" s="1">
        <v>0</v>
      </c>
      <c r="Q135" s="80">
        <v>-1</v>
      </c>
      <c r="R135" s="92">
        <v>0</v>
      </c>
      <c r="S135" s="74" t="s">
        <v>227</v>
      </c>
      <c r="T135" s="124" t="s">
        <v>141</v>
      </c>
      <c r="U135" s="70">
        <f t="shared" si="67"/>
        <v>1</v>
      </c>
      <c r="V135" s="48">
        <f t="shared" si="68"/>
        <v>0</v>
      </c>
      <c r="W135" s="48">
        <f t="shared" si="69"/>
        <v>0</v>
      </c>
      <c r="X135" s="48">
        <f t="shared" si="70"/>
        <v>0</v>
      </c>
      <c r="Y135" s="61">
        <v>-1</v>
      </c>
      <c r="Z135" s="61" t="s">
        <v>0</v>
      </c>
      <c r="AA135" t="s">
        <v>14</v>
      </c>
    </row>
    <row r="136" spans="1:29" x14ac:dyDescent="0.25">
      <c r="C136" s="61">
        <f t="shared" si="71"/>
        <v>2008</v>
      </c>
      <c r="D136" s="6">
        <f t="shared" si="72"/>
        <v>2010</v>
      </c>
      <c r="E136" t="s">
        <v>142</v>
      </c>
      <c r="F136" s="51">
        <v>80</v>
      </c>
      <c r="G136" s="66" t="s">
        <v>155</v>
      </c>
      <c r="H136" s="66" t="s">
        <v>189</v>
      </c>
      <c r="I136" s="66" t="s">
        <v>189</v>
      </c>
      <c r="J136" s="66" t="s">
        <v>188</v>
      </c>
      <c r="K136" s="16">
        <v>1</v>
      </c>
      <c r="L136" s="1">
        <v>-1</v>
      </c>
      <c r="M136" s="48">
        <v>0</v>
      </c>
      <c r="N136" s="1">
        <v>0</v>
      </c>
      <c r="O136" s="1">
        <v>1</v>
      </c>
      <c r="P136" s="1">
        <v>0</v>
      </c>
      <c r="Q136" s="80">
        <v>-1</v>
      </c>
      <c r="R136" s="92">
        <v>0</v>
      </c>
      <c r="S136" s="43" t="s">
        <v>141</v>
      </c>
      <c r="T136" s="124" t="s">
        <v>141</v>
      </c>
      <c r="U136" s="70">
        <f t="shared" si="67"/>
        <v>1</v>
      </c>
      <c r="V136" s="48">
        <f t="shared" si="68"/>
        <v>0</v>
      </c>
      <c r="W136" s="48">
        <f t="shared" si="69"/>
        <v>0</v>
      </c>
      <c r="X136" s="48">
        <f t="shared" si="70"/>
        <v>0</v>
      </c>
      <c r="Y136" s="61">
        <v>-1</v>
      </c>
      <c r="Z136" s="61" t="s">
        <v>0</v>
      </c>
      <c r="AA136" t="s">
        <v>15</v>
      </c>
    </row>
    <row r="137" spans="1:29" x14ac:dyDescent="0.25">
      <c r="C137" s="61">
        <f t="shared" ref="C137:C141" si="73">C136</f>
        <v>2008</v>
      </c>
      <c r="D137" s="6">
        <f t="shared" si="72"/>
        <v>2010</v>
      </c>
      <c r="E137" t="s">
        <v>521</v>
      </c>
      <c r="F137" s="67" t="s">
        <v>154</v>
      </c>
      <c r="G137" s="66" t="s">
        <v>155</v>
      </c>
      <c r="H137" s="66" t="s">
        <v>189</v>
      </c>
      <c r="I137" s="66" t="s">
        <v>189</v>
      </c>
      <c r="J137" s="66" t="s">
        <v>188</v>
      </c>
      <c r="K137" s="16">
        <v>1</v>
      </c>
      <c r="L137" s="1">
        <v>0</v>
      </c>
      <c r="M137" s="48">
        <v>0</v>
      </c>
      <c r="N137" s="1">
        <v>0</v>
      </c>
      <c r="O137" s="1">
        <v>0</v>
      </c>
      <c r="P137" s="1">
        <v>0</v>
      </c>
      <c r="Q137" s="80">
        <v>-1</v>
      </c>
      <c r="R137" s="120">
        <v>1</v>
      </c>
      <c r="S137" s="43" t="s">
        <v>141</v>
      </c>
      <c r="T137" s="124" t="s">
        <v>141</v>
      </c>
      <c r="U137" s="70">
        <f t="shared" si="67"/>
        <v>0</v>
      </c>
      <c r="V137" s="48">
        <f t="shared" si="68"/>
        <v>0</v>
      </c>
      <c r="W137" s="48">
        <f t="shared" si="69"/>
        <v>0</v>
      </c>
      <c r="X137" s="48">
        <f t="shared" si="70"/>
        <v>0</v>
      </c>
      <c r="Y137" s="61">
        <v>-1</v>
      </c>
      <c r="Z137" s="61" t="s">
        <v>0</v>
      </c>
      <c r="AA137" t="s">
        <v>522</v>
      </c>
      <c r="AC137" t="s">
        <v>524</v>
      </c>
    </row>
    <row r="138" spans="1:29" x14ac:dyDescent="0.25">
      <c r="C138" s="61">
        <f t="shared" si="73"/>
        <v>2008</v>
      </c>
      <c r="D138" s="6">
        <f t="shared" si="72"/>
        <v>2010</v>
      </c>
      <c r="E138" t="s">
        <v>143</v>
      </c>
      <c r="F138" s="67" t="s">
        <v>154</v>
      </c>
      <c r="G138" s="10">
        <v>7.7</v>
      </c>
      <c r="H138" s="66" t="s">
        <v>189</v>
      </c>
      <c r="I138" s="66" t="s">
        <v>189</v>
      </c>
      <c r="J138" s="66" t="s">
        <v>188</v>
      </c>
      <c r="K138" s="16">
        <v>1</v>
      </c>
      <c r="L138" s="1">
        <v>1</v>
      </c>
      <c r="M138" s="48">
        <v>1</v>
      </c>
      <c r="N138" s="1">
        <v>1</v>
      </c>
      <c r="O138" s="1">
        <v>0</v>
      </c>
      <c r="P138" s="1">
        <v>0</v>
      </c>
      <c r="Q138" s="80">
        <v>68</v>
      </c>
      <c r="R138" s="92">
        <v>0</v>
      </c>
      <c r="S138" s="97" t="s">
        <v>143</v>
      </c>
      <c r="T138" s="24" t="s">
        <v>227</v>
      </c>
      <c r="U138" s="70">
        <f t="shared" si="67"/>
        <v>0</v>
      </c>
      <c r="V138" s="48">
        <f t="shared" si="68"/>
        <v>1</v>
      </c>
      <c r="W138" s="48">
        <f t="shared" si="69"/>
        <v>0</v>
      </c>
      <c r="X138" s="48">
        <f t="shared" si="70"/>
        <v>0</v>
      </c>
      <c r="Y138" s="61">
        <v>-1</v>
      </c>
      <c r="Z138" s="61" t="s">
        <v>0</v>
      </c>
      <c r="AA138" t="s">
        <v>16</v>
      </c>
    </row>
    <row r="139" spans="1:29" x14ac:dyDescent="0.25">
      <c r="C139" s="61">
        <f t="shared" si="73"/>
        <v>2008</v>
      </c>
      <c r="D139" s="6">
        <f t="shared" si="72"/>
        <v>2010</v>
      </c>
      <c r="E139" t="s">
        <v>511</v>
      </c>
      <c r="F139" s="67" t="s">
        <v>154</v>
      </c>
      <c r="G139" s="10">
        <v>7.7</v>
      </c>
      <c r="H139" s="66" t="s">
        <v>189</v>
      </c>
      <c r="I139" s="66" t="s">
        <v>189</v>
      </c>
      <c r="J139" s="66" t="s">
        <v>188</v>
      </c>
      <c r="K139" s="16">
        <v>1</v>
      </c>
      <c r="L139" s="1">
        <v>1</v>
      </c>
      <c r="M139" s="48">
        <v>1</v>
      </c>
      <c r="N139" s="1">
        <v>1</v>
      </c>
      <c r="O139" s="1">
        <v>0</v>
      </c>
      <c r="P139" s="1">
        <v>0</v>
      </c>
      <c r="Q139" s="80">
        <v>68</v>
      </c>
      <c r="R139" s="92">
        <v>0</v>
      </c>
      <c r="S139" s="97" t="s">
        <v>143</v>
      </c>
      <c r="T139" s="24" t="s">
        <v>227</v>
      </c>
      <c r="U139" s="70">
        <f t="shared" si="67"/>
        <v>0</v>
      </c>
      <c r="V139" s="48">
        <f t="shared" si="68"/>
        <v>1</v>
      </c>
      <c r="W139" s="48">
        <f t="shared" si="69"/>
        <v>0</v>
      </c>
      <c r="X139" s="48">
        <f t="shared" si="70"/>
        <v>0</v>
      </c>
      <c r="Y139" s="61">
        <v>-1</v>
      </c>
      <c r="Z139" s="61" t="s">
        <v>0</v>
      </c>
      <c r="AA139" t="s">
        <v>512</v>
      </c>
    </row>
    <row r="140" spans="1:29" x14ac:dyDescent="0.25">
      <c r="C140" s="61">
        <f t="shared" si="73"/>
        <v>2008</v>
      </c>
      <c r="D140" s="6">
        <f t="shared" si="72"/>
        <v>2010</v>
      </c>
      <c r="E140" t="s">
        <v>530</v>
      </c>
      <c r="F140" s="67" t="s">
        <v>154</v>
      </c>
      <c r="G140" s="10">
        <v>7.7</v>
      </c>
      <c r="H140" s="66" t="s">
        <v>189</v>
      </c>
      <c r="I140" s="66" t="s">
        <v>189</v>
      </c>
      <c r="J140" s="66" t="s">
        <v>188</v>
      </c>
      <c r="K140" s="16">
        <v>1</v>
      </c>
      <c r="L140" s="1">
        <v>0</v>
      </c>
      <c r="M140" s="48">
        <v>1</v>
      </c>
      <c r="N140" s="1">
        <v>1</v>
      </c>
      <c r="O140" s="1">
        <v>0</v>
      </c>
      <c r="P140" s="1">
        <v>0</v>
      </c>
      <c r="Q140" s="80">
        <v>68</v>
      </c>
      <c r="R140" s="120">
        <v>1</v>
      </c>
      <c r="S140" s="74" t="s">
        <v>227</v>
      </c>
      <c r="T140" t="s">
        <v>143</v>
      </c>
      <c r="U140" s="70">
        <f t="shared" si="67"/>
        <v>0</v>
      </c>
      <c r="V140" s="48">
        <f t="shared" si="68"/>
        <v>1</v>
      </c>
      <c r="W140" s="48">
        <f t="shared" si="69"/>
        <v>0</v>
      </c>
      <c r="X140" s="48">
        <f t="shared" si="70"/>
        <v>0</v>
      </c>
      <c r="Y140" s="61">
        <v>-1</v>
      </c>
      <c r="Z140" s="61" t="s">
        <v>0</v>
      </c>
      <c r="AA140" t="s">
        <v>529</v>
      </c>
      <c r="AC140" t="s">
        <v>525</v>
      </c>
    </row>
    <row r="141" spans="1:29" x14ac:dyDescent="0.25">
      <c r="C141" s="61">
        <f t="shared" si="73"/>
        <v>2008</v>
      </c>
      <c r="D141" s="6">
        <f t="shared" si="72"/>
        <v>2010</v>
      </c>
      <c r="E141" t="s">
        <v>531</v>
      </c>
      <c r="F141" s="67" t="s">
        <v>154</v>
      </c>
      <c r="G141" s="10">
        <v>7.7</v>
      </c>
      <c r="H141" s="66" t="s">
        <v>189</v>
      </c>
      <c r="I141" s="66" t="s">
        <v>189</v>
      </c>
      <c r="J141" s="66" t="s">
        <v>188</v>
      </c>
      <c r="K141" s="16">
        <v>1</v>
      </c>
      <c r="L141" s="1">
        <v>0</v>
      </c>
      <c r="M141" s="48">
        <v>1</v>
      </c>
      <c r="N141" s="1">
        <v>1</v>
      </c>
      <c r="O141" s="1">
        <v>0</v>
      </c>
      <c r="P141" s="1">
        <v>0</v>
      </c>
      <c r="Q141" s="80">
        <v>68</v>
      </c>
      <c r="R141" s="120">
        <v>1</v>
      </c>
      <c r="S141" s="74" t="s">
        <v>227</v>
      </c>
      <c r="T141" t="s">
        <v>143</v>
      </c>
      <c r="U141" s="70">
        <f t="shared" si="67"/>
        <v>0</v>
      </c>
      <c r="V141" s="48">
        <f t="shared" si="68"/>
        <v>1</v>
      </c>
      <c r="W141" s="48">
        <f t="shared" si="69"/>
        <v>0</v>
      </c>
      <c r="X141" s="48">
        <f t="shared" si="70"/>
        <v>0</v>
      </c>
      <c r="Y141" s="61">
        <v>-1</v>
      </c>
      <c r="Z141" s="61" t="s">
        <v>0</v>
      </c>
      <c r="AA141" t="s">
        <v>532</v>
      </c>
      <c r="AC141" t="s">
        <v>524</v>
      </c>
    </row>
    <row r="142" spans="1:29" x14ac:dyDescent="0.25">
      <c r="C142" s="61">
        <f t="shared" si="71"/>
        <v>2008</v>
      </c>
      <c r="D142" s="6">
        <f t="shared" si="72"/>
        <v>2010</v>
      </c>
      <c r="E142" t="s">
        <v>520</v>
      </c>
      <c r="F142" s="67" t="s">
        <v>154</v>
      </c>
      <c r="G142" s="10">
        <v>7.7</v>
      </c>
      <c r="H142" s="66" t="s">
        <v>189</v>
      </c>
      <c r="I142" s="66" t="s">
        <v>189</v>
      </c>
      <c r="J142" s="66" t="s">
        <v>188</v>
      </c>
      <c r="K142" s="16">
        <v>1</v>
      </c>
      <c r="L142" s="1">
        <v>0</v>
      </c>
      <c r="M142" s="48">
        <v>1</v>
      </c>
      <c r="N142" s="1">
        <v>1</v>
      </c>
      <c r="O142" s="1">
        <v>0</v>
      </c>
      <c r="P142" s="1">
        <v>0</v>
      </c>
      <c r="Q142" s="80">
        <v>68</v>
      </c>
      <c r="R142" s="120">
        <v>1</v>
      </c>
      <c r="S142" s="74" t="s">
        <v>227</v>
      </c>
      <c r="T142" t="s">
        <v>143</v>
      </c>
      <c r="U142" s="70">
        <f t="shared" si="67"/>
        <v>0</v>
      </c>
      <c r="V142" s="48">
        <f t="shared" si="68"/>
        <v>1</v>
      </c>
      <c r="W142" s="48">
        <f t="shared" si="69"/>
        <v>0</v>
      </c>
      <c r="X142" s="48">
        <f t="shared" si="70"/>
        <v>0</v>
      </c>
      <c r="Y142" s="61">
        <v>-1</v>
      </c>
      <c r="Z142" s="61" t="s">
        <v>0</v>
      </c>
      <c r="AA142" t="s">
        <v>535</v>
      </c>
      <c r="AC142" t="s">
        <v>524</v>
      </c>
    </row>
    <row r="143" spans="1:29" x14ac:dyDescent="0.25">
      <c r="C143" s="61">
        <f t="shared" si="71"/>
        <v>2008</v>
      </c>
      <c r="D143" s="6">
        <f t="shared" si="72"/>
        <v>2010</v>
      </c>
      <c r="E143" t="s">
        <v>144</v>
      </c>
      <c r="F143" s="67" t="s">
        <v>154</v>
      </c>
      <c r="G143" s="55">
        <v>7.7</v>
      </c>
      <c r="H143" s="66" t="s">
        <v>189</v>
      </c>
      <c r="I143" s="66" t="s">
        <v>189</v>
      </c>
      <c r="J143" s="66" t="s">
        <v>188</v>
      </c>
      <c r="K143" s="16">
        <v>1</v>
      </c>
      <c r="L143" s="1">
        <v>1</v>
      </c>
      <c r="M143" s="49">
        <v>1</v>
      </c>
      <c r="N143" s="1">
        <v>1</v>
      </c>
      <c r="O143" s="1">
        <v>0</v>
      </c>
      <c r="P143" s="1">
        <v>0</v>
      </c>
      <c r="Q143" s="80">
        <v>68</v>
      </c>
      <c r="R143" s="92">
        <v>0</v>
      </c>
      <c r="S143" s="97" t="s">
        <v>143</v>
      </c>
      <c r="T143" s="24" t="s">
        <v>227</v>
      </c>
      <c r="U143" s="70">
        <f t="shared" si="67"/>
        <v>0</v>
      </c>
      <c r="V143" s="48">
        <f t="shared" si="68"/>
        <v>1</v>
      </c>
      <c r="W143" s="48">
        <f t="shared" si="69"/>
        <v>0</v>
      </c>
      <c r="X143" s="48">
        <f t="shared" si="70"/>
        <v>0</v>
      </c>
      <c r="Y143" s="61">
        <v>-1</v>
      </c>
      <c r="Z143" s="61" t="s">
        <v>0</v>
      </c>
      <c r="AA143" t="s">
        <v>17</v>
      </c>
    </row>
    <row r="144" spans="1:29" x14ac:dyDescent="0.25">
      <c r="C144" s="61">
        <f t="shared" si="71"/>
        <v>2008</v>
      </c>
      <c r="D144" s="6">
        <f t="shared" si="72"/>
        <v>2010</v>
      </c>
      <c r="E144" t="s">
        <v>145</v>
      </c>
      <c r="F144" s="67" t="s">
        <v>154</v>
      </c>
      <c r="G144" s="11">
        <v>0</v>
      </c>
      <c r="H144" s="66" t="s">
        <v>189</v>
      </c>
      <c r="I144" s="66" t="s">
        <v>189</v>
      </c>
      <c r="J144" s="66" t="s">
        <v>188</v>
      </c>
      <c r="K144" s="16">
        <v>0</v>
      </c>
      <c r="L144" s="1">
        <v>1</v>
      </c>
      <c r="M144" s="48">
        <v>1</v>
      </c>
      <c r="N144" s="1">
        <v>1</v>
      </c>
      <c r="O144" s="1">
        <v>0</v>
      </c>
      <c r="P144" s="1">
        <v>0</v>
      </c>
      <c r="Q144" s="80">
        <v>68</v>
      </c>
      <c r="R144" s="92">
        <v>0</v>
      </c>
      <c r="S144" s="97" t="s">
        <v>143</v>
      </c>
      <c r="T144" s="24" t="s">
        <v>227</v>
      </c>
      <c r="U144" s="70">
        <f t="shared" si="67"/>
        <v>0</v>
      </c>
      <c r="V144" s="48">
        <f t="shared" si="68"/>
        <v>0</v>
      </c>
      <c r="W144" s="48">
        <f t="shared" si="69"/>
        <v>0</v>
      </c>
      <c r="X144" s="48">
        <f t="shared" si="70"/>
        <v>0</v>
      </c>
      <c r="Y144" s="61">
        <v>-1</v>
      </c>
      <c r="Z144" s="61" t="s">
        <v>0</v>
      </c>
      <c r="AA144" t="s">
        <v>18</v>
      </c>
    </row>
    <row r="145" spans="1:29" x14ac:dyDescent="0.25">
      <c r="C145" s="61">
        <f t="shared" si="71"/>
        <v>2008</v>
      </c>
      <c r="D145" s="6">
        <f t="shared" si="72"/>
        <v>2010</v>
      </c>
      <c r="E145" t="s">
        <v>146</v>
      </c>
      <c r="F145" s="67" t="s">
        <v>154</v>
      </c>
      <c r="G145" s="55">
        <v>7.4</v>
      </c>
      <c r="H145" s="66" t="s">
        <v>189</v>
      </c>
      <c r="I145" s="66" t="s">
        <v>189</v>
      </c>
      <c r="J145" s="66" t="s">
        <v>188</v>
      </c>
      <c r="K145" s="16">
        <v>1</v>
      </c>
      <c r="L145" s="1">
        <v>0</v>
      </c>
      <c r="M145" s="48">
        <v>1</v>
      </c>
      <c r="N145" s="1">
        <v>1</v>
      </c>
      <c r="O145" s="1">
        <v>0</v>
      </c>
      <c r="P145" s="1">
        <v>0</v>
      </c>
      <c r="Q145" s="80">
        <v>68</v>
      </c>
      <c r="R145" s="120">
        <v>1</v>
      </c>
      <c r="S145" s="74" t="s">
        <v>227</v>
      </c>
      <c r="T145" s="123" t="s">
        <v>143</v>
      </c>
      <c r="U145" s="70">
        <f t="shared" si="67"/>
        <v>0</v>
      </c>
      <c r="V145" s="48">
        <f t="shared" si="68"/>
        <v>1</v>
      </c>
      <c r="W145" s="48">
        <f t="shared" si="69"/>
        <v>0</v>
      </c>
      <c r="X145" s="48">
        <f t="shared" si="70"/>
        <v>0</v>
      </c>
      <c r="Y145" s="61">
        <v>-1</v>
      </c>
      <c r="Z145" s="61" t="s">
        <v>0</v>
      </c>
      <c r="AA145" t="s">
        <v>19</v>
      </c>
    </row>
    <row r="146" spans="1:29" x14ac:dyDescent="0.25">
      <c r="C146" s="61">
        <f t="shared" si="71"/>
        <v>2008</v>
      </c>
      <c r="D146" s="6">
        <f t="shared" si="72"/>
        <v>2010</v>
      </c>
      <c r="E146" t="s">
        <v>147</v>
      </c>
      <c r="F146" s="67" t="s">
        <v>154</v>
      </c>
      <c r="G146" s="10">
        <v>7.7</v>
      </c>
      <c r="H146" s="66" t="s">
        <v>189</v>
      </c>
      <c r="I146" s="66" t="s">
        <v>189</v>
      </c>
      <c r="J146" s="66" t="s">
        <v>188</v>
      </c>
      <c r="K146" s="94">
        <v>1</v>
      </c>
      <c r="L146" s="1">
        <v>-1</v>
      </c>
      <c r="M146" s="48">
        <v>0</v>
      </c>
      <c r="N146" s="1">
        <v>1</v>
      </c>
      <c r="O146" s="1">
        <v>0</v>
      </c>
      <c r="P146" s="1">
        <v>0</v>
      </c>
      <c r="Q146" s="80">
        <v>-1</v>
      </c>
      <c r="R146" s="92">
        <v>0</v>
      </c>
      <c r="S146" s="97" t="s">
        <v>143</v>
      </c>
      <c r="T146" s="54" t="s">
        <v>143</v>
      </c>
      <c r="U146" s="70">
        <f t="shared" si="67"/>
        <v>0</v>
      </c>
      <c r="V146" s="48">
        <f t="shared" si="68"/>
        <v>1</v>
      </c>
      <c r="W146" s="48">
        <f t="shared" si="69"/>
        <v>0</v>
      </c>
      <c r="X146" s="48">
        <f t="shared" si="70"/>
        <v>0</v>
      </c>
      <c r="Y146" s="61">
        <v>-1</v>
      </c>
      <c r="Z146" s="61" t="s">
        <v>0</v>
      </c>
      <c r="AA146" t="s">
        <v>20</v>
      </c>
    </row>
    <row r="147" spans="1:29" x14ac:dyDescent="0.25">
      <c r="C147" s="61">
        <f t="shared" si="71"/>
        <v>2008</v>
      </c>
      <c r="D147" s="6">
        <f t="shared" si="72"/>
        <v>2010</v>
      </c>
      <c r="E147" t="s">
        <v>148</v>
      </c>
      <c r="F147" s="67" t="s">
        <v>154</v>
      </c>
      <c r="G147" s="66" t="s">
        <v>155</v>
      </c>
      <c r="H147" s="66" t="s">
        <v>189</v>
      </c>
      <c r="I147" s="66" t="s">
        <v>189</v>
      </c>
      <c r="J147" s="66" t="s">
        <v>188</v>
      </c>
      <c r="K147" s="94">
        <v>1</v>
      </c>
      <c r="L147" s="1">
        <v>-1</v>
      </c>
      <c r="M147" s="48">
        <v>0</v>
      </c>
      <c r="N147" s="1">
        <v>0</v>
      </c>
      <c r="O147" s="1">
        <v>1</v>
      </c>
      <c r="P147" s="1">
        <v>0</v>
      </c>
      <c r="Q147" s="80">
        <v>-1</v>
      </c>
      <c r="R147" s="92">
        <v>0</v>
      </c>
      <c r="S147" s="43" t="s">
        <v>141</v>
      </c>
      <c r="T147" s="123" t="s">
        <v>141</v>
      </c>
      <c r="U147" s="70">
        <f t="shared" si="67"/>
        <v>0</v>
      </c>
      <c r="V147" s="48">
        <f t="shared" si="68"/>
        <v>0</v>
      </c>
      <c r="W147" s="48">
        <f t="shared" si="69"/>
        <v>0</v>
      </c>
      <c r="X147" s="48">
        <f t="shared" si="70"/>
        <v>0</v>
      </c>
      <c r="Y147" s="61">
        <v>-1</v>
      </c>
      <c r="Z147" s="61" t="s">
        <v>0</v>
      </c>
      <c r="AA147" t="s">
        <v>21</v>
      </c>
    </row>
    <row r="148" spans="1:29" x14ac:dyDescent="0.25">
      <c r="C148" s="61">
        <f t="shared" si="71"/>
        <v>2008</v>
      </c>
      <c r="D148" s="6">
        <f t="shared" si="72"/>
        <v>2010</v>
      </c>
      <c r="E148" t="s">
        <v>510</v>
      </c>
      <c r="F148" s="67" t="s">
        <v>154</v>
      </c>
      <c r="G148" s="66" t="s">
        <v>155</v>
      </c>
      <c r="H148" s="66" t="s">
        <v>189</v>
      </c>
      <c r="I148" s="66" t="s">
        <v>189</v>
      </c>
      <c r="J148" s="66" t="s">
        <v>188</v>
      </c>
      <c r="K148" s="94">
        <v>1</v>
      </c>
      <c r="L148" s="1">
        <v>-1</v>
      </c>
      <c r="M148" s="48">
        <v>0</v>
      </c>
      <c r="N148" s="1">
        <v>1</v>
      </c>
      <c r="O148" s="1">
        <v>0</v>
      </c>
      <c r="P148" s="1">
        <v>0</v>
      </c>
      <c r="Q148" s="80">
        <v>-1</v>
      </c>
      <c r="R148" s="92">
        <v>0</v>
      </c>
      <c r="S148" s="97" t="s">
        <v>143</v>
      </c>
      <c r="T148" s="54" t="s">
        <v>143</v>
      </c>
      <c r="U148" s="70">
        <f t="shared" si="67"/>
        <v>0</v>
      </c>
      <c r="V148" s="48">
        <f t="shared" si="68"/>
        <v>0</v>
      </c>
      <c r="W148" s="48">
        <f t="shared" si="69"/>
        <v>0</v>
      </c>
      <c r="X148" s="48">
        <f t="shared" si="70"/>
        <v>0</v>
      </c>
      <c r="Y148" s="61">
        <v>-1</v>
      </c>
      <c r="Z148" s="61" t="s">
        <v>0</v>
      </c>
      <c r="AA148" t="s">
        <v>21</v>
      </c>
    </row>
    <row r="149" spans="1:29" x14ac:dyDescent="0.25">
      <c r="C149" s="61">
        <f t="shared" si="71"/>
        <v>2008</v>
      </c>
      <c r="D149" s="6">
        <f t="shared" si="72"/>
        <v>2010</v>
      </c>
      <c r="E149" t="s">
        <v>367</v>
      </c>
      <c r="F149" s="67" t="s">
        <v>154</v>
      </c>
      <c r="G149" s="66" t="s">
        <v>155</v>
      </c>
      <c r="H149" s="66" t="s">
        <v>189</v>
      </c>
      <c r="I149" s="66" t="s">
        <v>189</v>
      </c>
      <c r="J149" s="66" t="s">
        <v>188</v>
      </c>
      <c r="K149" s="16">
        <v>1</v>
      </c>
      <c r="L149" s="1">
        <v>-1</v>
      </c>
      <c r="M149" s="48">
        <v>1</v>
      </c>
      <c r="N149" s="1">
        <v>1</v>
      </c>
      <c r="O149" s="1">
        <v>0</v>
      </c>
      <c r="P149" s="1">
        <v>1</v>
      </c>
      <c r="Q149" s="80">
        <v>68</v>
      </c>
      <c r="R149" s="92">
        <v>0</v>
      </c>
      <c r="S149" s="97" t="s">
        <v>143</v>
      </c>
      <c r="T149" s="54" t="s">
        <v>143</v>
      </c>
      <c r="U149" s="70">
        <f t="shared" si="67"/>
        <v>0</v>
      </c>
      <c r="V149" s="48">
        <f t="shared" si="68"/>
        <v>0</v>
      </c>
      <c r="W149" s="48">
        <f t="shared" si="69"/>
        <v>0</v>
      </c>
      <c r="X149" s="48">
        <f t="shared" si="70"/>
        <v>0</v>
      </c>
      <c r="Y149" s="61">
        <v>-1</v>
      </c>
      <c r="Z149" s="61" t="s">
        <v>0</v>
      </c>
      <c r="AA149" t="s">
        <v>368</v>
      </c>
    </row>
    <row r="150" spans="1:29" x14ac:dyDescent="0.25">
      <c r="C150" s="61">
        <v>2008</v>
      </c>
      <c r="D150" s="6">
        <f t="shared" si="72"/>
        <v>2010</v>
      </c>
      <c r="E150" t="s">
        <v>366</v>
      </c>
      <c r="F150" s="67" t="s">
        <v>154</v>
      </c>
      <c r="G150" s="10">
        <v>7.7</v>
      </c>
      <c r="H150" s="66" t="s">
        <v>189</v>
      </c>
      <c r="I150" s="66" t="s">
        <v>189</v>
      </c>
      <c r="J150" s="66" t="s">
        <v>188</v>
      </c>
      <c r="K150" s="16">
        <v>1</v>
      </c>
      <c r="L150" s="1">
        <v>-1</v>
      </c>
      <c r="M150" s="48">
        <v>1</v>
      </c>
      <c r="N150" s="1">
        <v>1</v>
      </c>
      <c r="O150" s="1">
        <v>0</v>
      </c>
      <c r="P150" s="1">
        <v>1</v>
      </c>
      <c r="Q150" s="80">
        <v>68</v>
      </c>
      <c r="R150" s="120">
        <v>1</v>
      </c>
      <c r="S150" s="97" t="s">
        <v>143</v>
      </c>
      <c r="T150" s="54" t="s">
        <v>143</v>
      </c>
      <c r="U150" s="70">
        <f t="shared" si="67"/>
        <v>0</v>
      </c>
      <c r="V150" s="48">
        <f t="shared" si="68"/>
        <v>1</v>
      </c>
      <c r="W150" s="48">
        <f t="shared" si="69"/>
        <v>0</v>
      </c>
      <c r="X150" s="48">
        <f t="shared" si="70"/>
        <v>0</v>
      </c>
      <c r="Y150" s="61">
        <v>-1</v>
      </c>
      <c r="Z150" s="61" t="s">
        <v>0</v>
      </c>
      <c r="AA150" t="s">
        <v>369</v>
      </c>
    </row>
    <row r="151" spans="1:29" x14ac:dyDescent="0.25">
      <c r="C151" s="61">
        <f t="shared" ref="C151:C153" si="74">C150</f>
        <v>2008</v>
      </c>
      <c r="D151" s="6">
        <f t="shared" si="72"/>
        <v>2010</v>
      </c>
      <c r="E151" t="s">
        <v>549</v>
      </c>
      <c r="F151" s="67" t="s">
        <v>154</v>
      </c>
      <c r="G151" s="10">
        <v>7.7</v>
      </c>
      <c r="H151" s="66" t="s">
        <v>189</v>
      </c>
      <c r="I151" s="66" t="s">
        <v>189</v>
      </c>
      <c r="J151" s="66" t="s">
        <v>188</v>
      </c>
      <c r="K151" s="16">
        <v>1</v>
      </c>
      <c r="L151" s="1">
        <v>-1</v>
      </c>
      <c r="M151" s="48">
        <v>1</v>
      </c>
      <c r="N151" s="1">
        <v>1</v>
      </c>
      <c r="O151" s="1">
        <v>0</v>
      </c>
      <c r="P151" s="1">
        <v>0</v>
      </c>
      <c r="Q151" s="80">
        <v>68</v>
      </c>
      <c r="R151" s="92">
        <v>0</v>
      </c>
      <c r="S151" s="97" t="s">
        <v>143</v>
      </c>
      <c r="T151" s="54" t="s">
        <v>143</v>
      </c>
      <c r="U151" s="70">
        <f t="shared" si="67"/>
        <v>0</v>
      </c>
      <c r="V151" s="48">
        <f t="shared" si="68"/>
        <v>1</v>
      </c>
      <c r="W151" s="48">
        <f t="shared" si="69"/>
        <v>0</v>
      </c>
      <c r="X151" s="48">
        <f t="shared" si="70"/>
        <v>0</v>
      </c>
      <c r="Y151" s="61">
        <v>-1</v>
      </c>
      <c r="Z151" s="61" t="s">
        <v>0</v>
      </c>
      <c r="AA151" t="s">
        <v>550</v>
      </c>
      <c r="AC151" t="s">
        <v>551</v>
      </c>
    </row>
    <row r="152" spans="1:29" x14ac:dyDescent="0.25">
      <c r="C152" s="61">
        <f t="shared" si="74"/>
        <v>2008</v>
      </c>
      <c r="D152" s="6">
        <f t="shared" si="72"/>
        <v>2010</v>
      </c>
      <c r="E152" t="s">
        <v>728</v>
      </c>
      <c r="F152" s="67" t="s">
        <v>154</v>
      </c>
      <c r="G152" s="10">
        <v>7.7</v>
      </c>
      <c r="H152" s="66" t="s">
        <v>189</v>
      </c>
      <c r="I152" s="66" t="s">
        <v>189</v>
      </c>
      <c r="J152" s="66" t="s">
        <v>188</v>
      </c>
      <c r="K152" s="16">
        <v>1</v>
      </c>
      <c r="L152" s="1">
        <v>-1</v>
      </c>
      <c r="M152" s="48">
        <v>1</v>
      </c>
      <c r="N152" s="1">
        <v>1</v>
      </c>
      <c r="O152" s="1">
        <v>0</v>
      </c>
      <c r="P152" s="1">
        <v>0</v>
      </c>
      <c r="Q152" s="80">
        <v>68</v>
      </c>
      <c r="R152" s="92">
        <v>0</v>
      </c>
      <c r="S152" s="97" t="s">
        <v>143</v>
      </c>
      <c r="T152" s="54" t="s">
        <v>143</v>
      </c>
      <c r="U152" s="70">
        <f t="shared" ref="U152" si="75">IF(AND(ISNUMBER(F152), F152&gt;0), 1, 0)</f>
        <v>0</v>
      </c>
      <c r="V152" s="48">
        <f t="shared" ref="V152" si="76">IF(AND(ISNUMBER(G152), G152&gt;0), 1, 0)</f>
        <v>1</v>
      </c>
      <c r="W152" s="48">
        <f t="shared" si="69"/>
        <v>0</v>
      </c>
      <c r="X152" s="48">
        <f t="shared" ref="X152" si="77">IF(AND(ISNUMBER(J152), J152&gt;0), 1, 0)</f>
        <v>0</v>
      </c>
      <c r="Y152" s="61">
        <v>-1</v>
      </c>
      <c r="Z152" s="61" t="s">
        <v>0</v>
      </c>
      <c r="AA152" t="s">
        <v>729</v>
      </c>
      <c r="AC152" t="s">
        <v>551</v>
      </c>
    </row>
    <row r="153" spans="1:29" x14ac:dyDescent="0.25">
      <c r="C153" s="61">
        <f t="shared" si="74"/>
        <v>2008</v>
      </c>
      <c r="D153" s="6">
        <f t="shared" si="72"/>
        <v>2010</v>
      </c>
      <c r="E153" t="s">
        <v>1065</v>
      </c>
      <c r="F153" s="67" t="s">
        <v>154</v>
      </c>
      <c r="G153" s="10">
        <v>7.7</v>
      </c>
      <c r="H153" s="66" t="s">
        <v>189</v>
      </c>
      <c r="I153" s="66" t="s">
        <v>189</v>
      </c>
      <c r="J153" s="66" t="s">
        <v>188</v>
      </c>
      <c r="K153" s="16">
        <v>1</v>
      </c>
      <c r="L153" s="1">
        <v>-1</v>
      </c>
      <c r="M153" s="48">
        <v>1</v>
      </c>
      <c r="N153" s="1">
        <v>1</v>
      </c>
      <c r="O153" s="1">
        <v>0</v>
      </c>
      <c r="P153" s="1">
        <v>0</v>
      </c>
      <c r="Q153" s="80">
        <v>68</v>
      </c>
      <c r="R153" s="92">
        <v>0</v>
      </c>
      <c r="S153" s="97" t="s">
        <v>143</v>
      </c>
      <c r="T153" s="54" t="s">
        <v>143</v>
      </c>
      <c r="U153" s="70">
        <f t="shared" ref="U153" si="78">IF(AND(ISNUMBER(F153), F153&gt;0), 1, 0)</f>
        <v>0</v>
      </c>
      <c r="V153" s="48">
        <f t="shared" ref="V153" si="79">IF(AND(ISNUMBER(G153), G153&gt;0), 1, 0)</f>
        <v>1</v>
      </c>
      <c r="W153" s="48">
        <f t="shared" ref="W153" si="80">IF(AND(ISNUMBER(H153), H153&gt;0), 1, 0)</f>
        <v>0</v>
      </c>
      <c r="X153" s="48">
        <f t="shared" ref="X153" si="81">IF(AND(ISNUMBER(J153), J153&gt;0), 1, 0)</f>
        <v>0</v>
      </c>
      <c r="Y153" s="61">
        <v>-1</v>
      </c>
      <c r="Z153" s="61" t="s">
        <v>0</v>
      </c>
      <c r="AA153" t="s">
        <v>1063</v>
      </c>
      <c r="AC153" t="s">
        <v>551</v>
      </c>
    </row>
    <row r="154" spans="1:29" x14ac:dyDescent="0.25">
      <c r="A154" t="s">
        <v>435</v>
      </c>
      <c r="D154" s="126"/>
      <c r="E154" s="126"/>
      <c r="F154" s="126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6"/>
    </row>
    <row r="155" spans="1:29" x14ac:dyDescent="0.25">
      <c r="C155" s="60">
        <v>2006</v>
      </c>
      <c r="D155" s="60">
        <v>2007</v>
      </c>
      <c r="E155" t="s">
        <v>141</v>
      </c>
      <c r="F155" s="69">
        <v>78</v>
      </c>
      <c r="G155" s="66" t="s">
        <v>155</v>
      </c>
      <c r="H155" s="66" t="s">
        <v>189</v>
      </c>
      <c r="I155" s="66" t="s">
        <v>189</v>
      </c>
      <c r="J155" s="66" t="s">
        <v>188</v>
      </c>
      <c r="K155" s="16">
        <v>1</v>
      </c>
      <c r="L155" s="1">
        <v>1</v>
      </c>
      <c r="M155" s="48">
        <v>0</v>
      </c>
      <c r="N155" s="1">
        <v>0</v>
      </c>
      <c r="O155" s="1">
        <v>1</v>
      </c>
      <c r="P155" s="1">
        <v>0</v>
      </c>
      <c r="Q155" s="80">
        <v>-1</v>
      </c>
      <c r="R155" s="92">
        <v>0</v>
      </c>
      <c r="S155" s="43" t="s">
        <v>141</v>
      </c>
      <c r="T155" s="24" t="s">
        <v>227</v>
      </c>
      <c r="U155" s="70">
        <f t="shared" ref="U155:U175" si="82">IF(AND(ISNUMBER(F155), F155&gt;0), 1, 0)</f>
        <v>1</v>
      </c>
      <c r="V155" s="48">
        <f t="shared" ref="V155:V175" si="83">IF(AND(ISNUMBER(G155), G155&gt;0), 1, 0)</f>
        <v>0</v>
      </c>
      <c r="W155" s="48">
        <f t="shared" ref="W155:W176" si="84">IF(AND(ISNUMBER(H155), H155&gt;0), 1, 0)</f>
        <v>0</v>
      </c>
      <c r="X155" s="48">
        <f t="shared" ref="X155:X175" si="85">IF(AND(ISNUMBER(J155), J155&gt;0), 1, 0)</f>
        <v>0</v>
      </c>
      <c r="Y155" s="61">
        <v>-1</v>
      </c>
      <c r="Z155" s="61" t="s">
        <v>0</v>
      </c>
      <c r="AA155" t="s">
        <v>13</v>
      </c>
    </row>
    <row r="156" spans="1:29" x14ac:dyDescent="0.25">
      <c r="C156" s="61">
        <f>C155</f>
        <v>2006</v>
      </c>
      <c r="D156" s="6">
        <f>D155</f>
        <v>2007</v>
      </c>
      <c r="E156" t="s">
        <v>385</v>
      </c>
      <c r="F156" s="51">
        <v>75</v>
      </c>
      <c r="G156" s="66" t="s">
        <v>155</v>
      </c>
      <c r="H156" s="66" t="s">
        <v>189</v>
      </c>
      <c r="I156" s="66" t="s">
        <v>189</v>
      </c>
      <c r="J156" s="66" t="s">
        <v>188</v>
      </c>
      <c r="K156" s="16">
        <v>1</v>
      </c>
      <c r="L156" s="1">
        <v>0</v>
      </c>
      <c r="M156" s="48">
        <v>0</v>
      </c>
      <c r="N156" s="1">
        <v>0</v>
      </c>
      <c r="O156" s="1">
        <v>1</v>
      </c>
      <c r="P156" s="1">
        <v>0</v>
      </c>
      <c r="Q156" s="80">
        <v>-1</v>
      </c>
      <c r="R156" s="92">
        <v>0</v>
      </c>
      <c r="S156" s="74" t="s">
        <v>227</v>
      </c>
      <c r="T156" s="124" t="s">
        <v>141</v>
      </c>
      <c r="U156" s="70">
        <f t="shared" si="82"/>
        <v>1</v>
      </c>
      <c r="V156" s="48">
        <f t="shared" si="83"/>
        <v>0</v>
      </c>
      <c r="W156" s="48">
        <f t="shared" si="84"/>
        <v>0</v>
      </c>
      <c r="X156" s="48">
        <f t="shared" si="85"/>
        <v>0</v>
      </c>
      <c r="Y156" s="61">
        <v>-1</v>
      </c>
      <c r="Z156" s="61" t="s">
        <v>0</v>
      </c>
      <c r="AA156" t="s">
        <v>679</v>
      </c>
    </row>
    <row r="157" spans="1:29" x14ac:dyDescent="0.25">
      <c r="C157" s="61">
        <f t="shared" ref="C157:C177" si="86">C156</f>
        <v>2006</v>
      </c>
      <c r="D157" s="6">
        <f t="shared" ref="D157:D177" si="87">D156</f>
        <v>2007</v>
      </c>
      <c r="E157" t="s">
        <v>386</v>
      </c>
      <c r="F157" s="51">
        <v>65</v>
      </c>
      <c r="G157" s="66" t="s">
        <v>155</v>
      </c>
      <c r="H157" s="66" t="s">
        <v>189</v>
      </c>
      <c r="I157" s="66" t="s">
        <v>189</v>
      </c>
      <c r="J157" s="66" t="s">
        <v>188</v>
      </c>
      <c r="K157" s="16">
        <v>1</v>
      </c>
      <c r="L157" s="1">
        <v>0</v>
      </c>
      <c r="M157" s="48">
        <v>0</v>
      </c>
      <c r="N157" s="1">
        <v>0</v>
      </c>
      <c r="O157" s="1">
        <v>1</v>
      </c>
      <c r="P157" s="1">
        <v>0</v>
      </c>
      <c r="Q157" s="80">
        <v>-1</v>
      </c>
      <c r="R157" s="92">
        <v>0</v>
      </c>
      <c r="S157" s="74" t="s">
        <v>227</v>
      </c>
      <c r="T157" s="124" t="s">
        <v>141</v>
      </c>
      <c r="U157" s="70">
        <f t="shared" si="82"/>
        <v>1</v>
      </c>
      <c r="V157" s="48">
        <f t="shared" si="83"/>
        <v>0</v>
      </c>
      <c r="W157" s="48">
        <f t="shared" si="84"/>
        <v>0</v>
      </c>
      <c r="X157" s="48">
        <f t="shared" si="85"/>
        <v>0</v>
      </c>
      <c r="Y157" s="61">
        <v>-1</v>
      </c>
      <c r="Z157" s="61" t="s">
        <v>0</v>
      </c>
      <c r="AA157" t="s">
        <v>680</v>
      </c>
    </row>
    <row r="158" spans="1:29" x14ac:dyDescent="0.25">
      <c r="C158" s="61">
        <f t="shared" si="86"/>
        <v>2006</v>
      </c>
      <c r="D158" s="6">
        <f t="shared" si="87"/>
        <v>2007</v>
      </c>
      <c r="E158" t="s">
        <v>383</v>
      </c>
      <c r="F158" s="51">
        <v>57</v>
      </c>
      <c r="G158" s="66" t="s">
        <v>155</v>
      </c>
      <c r="H158" s="66" t="s">
        <v>189</v>
      </c>
      <c r="I158" s="66" t="s">
        <v>189</v>
      </c>
      <c r="J158" s="66" t="s">
        <v>188</v>
      </c>
      <c r="K158" s="16">
        <v>1</v>
      </c>
      <c r="L158" s="1">
        <v>0</v>
      </c>
      <c r="M158" s="48">
        <v>0</v>
      </c>
      <c r="N158" s="1">
        <v>0</v>
      </c>
      <c r="O158" s="1">
        <v>1</v>
      </c>
      <c r="P158" s="1">
        <v>0</v>
      </c>
      <c r="Q158" s="80">
        <v>-1</v>
      </c>
      <c r="R158" s="92">
        <v>0</v>
      </c>
      <c r="S158" s="74" t="s">
        <v>227</v>
      </c>
      <c r="T158" s="124" t="s">
        <v>141</v>
      </c>
      <c r="U158" s="70">
        <f t="shared" si="82"/>
        <v>1</v>
      </c>
      <c r="V158" s="48">
        <f t="shared" si="83"/>
        <v>0</v>
      </c>
      <c r="W158" s="48">
        <f t="shared" si="84"/>
        <v>0</v>
      </c>
      <c r="X158" s="48">
        <f t="shared" si="85"/>
        <v>0</v>
      </c>
      <c r="Y158" s="61">
        <v>-1</v>
      </c>
      <c r="Z158" s="61" t="s">
        <v>0</v>
      </c>
      <c r="AA158" t="s">
        <v>681</v>
      </c>
    </row>
    <row r="159" spans="1:29" x14ac:dyDescent="0.25">
      <c r="C159" s="61">
        <f t="shared" si="86"/>
        <v>2006</v>
      </c>
      <c r="D159" s="6">
        <f t="shared" si="87"/>
        <v>2007</v>
      </c>
      <c r="E159" t="s">
        <v>384</v>
      </c>
      <c r="F159" s="51">
        <v>61</v>
      </c>
      <c r="G159" s="66" t="s">
        <v>155</v>
      </c>
      <c r="H159" s="66" t="s">
        <v>189</v>
      </c>
      <c r="I159" s="66" t="s">
        <v>189</v>
      </c>
      <c r="J159" s="66" t="s">
        <v>188</v>
      </c>
      <c r="K159" s="16">
        <v>1</v>
      </c>
      <c r="L159" s="1">
        <v>0</v>
      </c>
      <c r="M159" s="48">
        <v>0</v>
      </c>
      <c r="N159" s="1">
        <v>0</v>
      </c>
      <c r="O159" s="1">
        <v>1</v>
      </c>
      <c r="P159" s="1">
        <v>0</v>
      </c>
      <c r="Q159" s="80">
        <v>-1</v>
      </c>
      <c r="R159" s="92">
        <v>0</v>
      </c>
      <c r="S159" s="74" t="s">
        <v>227</v>
      </c>
      <c r="T159" s="124" t="s">
        <v>141</v>
      </c>
      <c r="U159" s="70">
        <f t="shared" si="82"/>
        <v>1</v>
      </c>
      <c r="V159" s="48">
        <f t="shared" si="83"/>
        <v>0</v>
      </c>
      <c r="W159" s="48">
        <f t="shared" si="84"/>
        <v>0</v>
      </c>
      <c r="X159" s="48">
        <f t="shared" si="85"/>
        <v>0</v>
      </c>
      <c r="Y159" s="61">
        <v>-1</v>
      </c>
      <c r="Z159" s="61" t="s">
        <v>0</v>
      </c>
      <c r="AA159" t="s">
        <v>14</v>
      </c>
    </row>
    <row r="160" spans="1:29" x14ac:dyDescent="0.25">
      <c r="C160" s="61">
        <f t="shared" si="86"/>
        <v>2006</v>
      </c>
      <c r="D160" s="6">
        <f t="shared" si="87"/>
        <v>2007</v>
      </c>
      <c r="E160" t="s">
        <v>142</v>
      </c>
      <c r="F160" s="51">
        <v>80</v>
      </c>
      <c r="G160" s="66" t="s">
        <v>155</v>
      </c>
      <c r="H160" s="66" t="s">
        <v>189</v>
      </c>
      <c r="I160" s="66" t="s">
        <v>189</v>
      </c>
      <c r="J160" s="66" t="s">
        <v>188</v>
      </c>
      <c r="K160" s="16">
        <v>1</v>
      </c>
      <c r="L160" s="1">
        <v>-1</v>
      </c>
      <c r="M160" s="48">
        <v>0</v>
      </c>
      <c r="N160" s="1">
        <v>0</v>
      </c>
      <c r="O160" s="1">
        <v>1</v>
      </c>
      <c r="P160" s="1">
        <v>0</v>
      </c>
      <c r="Q160" s="80">
        <v>-1</v>
      </c>
      <c r="R160" s="92">
        <v>0</v>
      </c>
      <c r="S160" s="43" t="s">
        <v>141</v>
      </c>
      <c r="T160" s="124" t="s">
        <v>141</v>
      </c>
      <c r="U160" s="70">
        <f t="shared" si="82"/>
        <v>1</v>
      </c>
      <c r="V160" s="48">
        <f t="shared" si="83"/>
        <v>0</v>
      </c>
      <c r="W160" s="48">
        <f t="shared" si="84"/>
        <v>0</v>
      </c>
      <c r="X160" s="48">
        <f t="shared" si="85"/>
        <v>0</v>
      </c>
      <c r="Y160" s="61">
        <v>-1</v>
      </c>
      <c r="Z160" s="61" t="s">
        <v>0</v>
      </c>
      <c r="AA160" t="s">
        <v>15</v>
      </c>
    </row>
    <row r="161" spans="3:29" x14ac:dyDescent="0.25">
      <c r="C161" s="61">
        <f t="shared" ref="C161:C173" si="88">C160</f>
        <v>2006</v>
      </c>
      <c r="D161" s="6">
        <f t="shared" si="87"/>
        <v>2007</v>
      </c>
      <c r="E161" t="s">
        <v>521</v>
      </c>
      <c r="F161" s="67" t="s">
        <v>154</v>
      </c>
      <c r="G161" s="66" t="s">
        <v>155</v>
      </c>
      <c r="H161" s="66" t="s">
        <v>189</v>
      </c>
      <c r="I161" s="66" t="s">
        <v>189</v>
      </c>
      <c r="J161" s="66" t="s">
        <v>188</v>
      </c>
      <c r="K161" s="16">
        <v>1</v>
      </c>
      <c r="L161" s="1">
        <v>0</v>
      </c>
      <c r="M161" s="48">
        <v>0</v>
      </c>
      <c r="N161" s="1">
        <v>0</v>
      </c>
      <c r="O161" s="1">
        <v>0</v>
      </c>
      <c r="P161" s="1">
        <v>0</v>
      </c>
      <c r="Q161" s="80">
        <v>-1</v>
      </c>
      <c r="R161" s="120">
        <v>1</v>
      </c>
      <c r="S161" s="43" t="s">
        <v>141</v>
      </c>
      <c r="T161" s="124" t="s">
        <v>141</v>
      </c>
      <c r="U161" s="70">
        <f t="shared" si="82"/>
        <v>0</v>
      </c>
      <c r="V161" s="48">
        <f t="shared" si="83"/>
        <v>0</v>
      </c>
      <c r="W161" s="48">
        <f t="shared" si="84"/>
        <v>0</v>
      </c>
      <c r="X161" s="48">
        <f t="shared" si="85"/>
        <v>0</v>
      </c>
      <c r="Y161" s="61">
        <v>-1</v>
      </c>
      <c r="Z161" s="61" t="s">
        <v>0</v>
      </c>
      <c r="AA161" t="s">
        <v>522</v>
      </c>
      <c r="AC161" t="s">
        <v>524</v>
      </c>
    </row>
    <row r="162" spans="3:29" x14ac:dyDescent="0.25">
      <c r="C162" s="61">
        <f t="shared" si="88"/>
        <v>2006</v>
      </c>
      <c r="D162" s="6">
        <f t="shared" si="87"/>
        <v>2007</v>
      </c>
      <c r="E162" t="s">
        <v>143</v>
      </c>
      <c r="F162" s="67" t="s">
        <v>154</v>
      </c>
      <c r="G162" s="10">
        <v>7.7</v>
      </c>
      <c r="H162" s="66" t="s">
        <v>189</v>
      </c>
      <c r="I162" s="66" t="s">
        <v>189</v>
      </c>
      <c r="J162" s="66" t="s">
        <v>188</v>
      </c>
      <c r="K162" s="16">
        <v>1</v>
      </c>
      <c r="L162" s="1">
        <v>1</v>
      </c>
      <c r="M162" s="48">
        <v>1</v>
      </c>
      <c r="N162" s="1">
        <v>1</v>
      </c>
      <c r="O162" s="1">
        <v>0</v>
      </c>
      <c r="P162" s="1">
        <v>0</v>
      </c>
      <c r="Q162" s="80">
        <v>68</v>
      </c>
      <c r="R162" s="92">
        <v>0</v>
      </c>
      <c r="S162" s="97" t="s">
        <v>143</v>
      </c>
      <c r="T162" s="24" t="s">
        <v>227</v>
      </c>
      <c r="U162" s="70">
        <f t="shared" si="82"/>
        <v>0</v>
      </c>
      <c r="V162" s="48">
        <f t="shared" si="83"/>
        <v>1</v>
      </c>
      <c r="W162" s="48">
        <f t="shared" si="84"/>
        <v>0</v>
      </c>
      <c r="X162" s="48">
        <f t="shared" si="85"/>
        <v>0</v>
      </c>
      <c r="Y162" s="61">
        <v>-1</v>
      </c>
      <c r="Z162" s="61" t="s">
        <v>0</v>
      </c>
      <c r="AA162" t="s">
        <v>16</v>
      </c>
    </row>
    <row r="163" spans="3:29" x14ac:dyDescent="0.25">
      <c r="C163" s="61">
        <f t="shared" si="88"/>
        <v>2006</v>
      </c>
      <c r="D163" s="6">
        <f t="shared" si="87"/>
        <v>2007</v>
      </c>
      <c r="E163" t="s">
        <v>511</v>
      </c>
      <c r="F163" s="67" t="s">
        <v>154</v>
      </c>
      <c r="G163" s="10">
        <v>7.7</v>
      </c>
      <c r="H163" s="66" t="s">
        <v>189</v>
      </c>
      <c r="I163" s="66" t="s">
        <v>189</v>
      </c>
      <c r="J163" s="66" t="s">
        <v>188</v>
      </c>
      <c r="K163" s="16">
        <v>1</v>
      </c>
      <c r="L163" s="1">
        <v>1</v>
      </c>
      <c r="M163" s="48">
        <v>1</v>
      </c>
      <c r="N163" s="1">
        <v>1</v>
      </c>
      <c r="O163" s="1">
        <v>0</v>
      </c>
      <c r="P163" s="1">
        <v>0</v>
      </c>
      <c r="Q163" s="80">
        <v>68</v>
      </c>
      <c r="R163" s="92">
        <v>0</v>
      </c>
      <c r="S163" s="97" t="s">
        <v>143</v>
      </c>
      <c r="T163" s="24" t="s">
        <v>227</v>
      </c>
      <c r="U163" s="70">
        <f t="shared" si="82"/>
        <v>0</v>
      </c>
      <c r="V163" s="48">
        <f t="shared" si="83"/>
        <v>1</v>
      </c>
      <c r="W163" s="48">
        <f t="shared" si="84"/>
        <v>0</v>
      </c>
      <c r="X163" s="48">
        <f t="shared" si="85"/>
        <v>0</v>
      </c>
      <c r="Y163" s="61">
        <v>-1</v>
      </c>
      <c r="Z163" s="61" t="s">
        <v>0</v>
      </c>
      <c r="AA163" t="s">
        <v>512</v>
      </c>
    </row>
    <row r="164" spans="3:29" x14ac:dyDescent="0.25">
      <c r="C164" s="61">
        <f t="shared" si="88"/>
        <v>2006</v>
      </c>
      <c r="D164" s="6">
        <f t="shared" si="87"/>
        <v>2007</v>
      </c>
      <c r="E164" t="s">
        <v>530</v>
      </c>
      <c r="F164" s="67" t="s">
        <v>154</v>
      </c>
      <c r="G164" s="10">
        <v>7.7</v>
      </c>
      <c r="H164" s="66" t="s">
        <v>189</v>
      </c>
      <c r="I164" s="66" t="s">
        <v>189</v>
      </c>
      <c r="J164" s="66" t="s">
        <v>188</v>
      </c>
      <c r="K164" s="16">
        <v>1</v>
      </c>
      <c r="L164" s="1">
        <v>0</v>
      </c>
      <c r="M164" s="48">
        <v>1</v>
      </c>
      <c r="N164" s="1">
        <v>1</v>
      </c>
      <c r="O164" s="1">
        <v>0</v>
      </c>
      <c r="P164" s="1">
        <v>0</v>
      </c>
      <c r="Q164" s="80">
        <v>68</v>
      </c>
      <c r="R164" s="120">
        <v>1</v>
      </c>
      <c r="S164" s="74" t="s">
        <v>227</v>
      </c>
      <c r="T164" t="s">
        <v>143</v>
      </c>
      <c r="U164" s="70">
        <f t="shared" si="82"/>
        <v>0</v>
      </c>
      <c r="V164" s="48">
        <f t="shared" si="83"/>
        <v>1</v>
      </c>
      <c r="W164" s="48">
        <f t="shared" si="84"/>
        <v>0</v>
      </c>
      <c r="X164" s="48">
        <f t="shared" si="85"/>
        <v>0</v>
      </c>
      <c r="Y164" s="61">
        <v>-1</v>
      </c>
      <c r="Z164" s="61" t="s">
        <v>0</v>
      </c>
      <c r="AA164" t="s">
        <v>529</v>
      </c>
      <c r="AC164" t="s">
        <v>525</v>
      </c>
    </row>
    <row r="165" spans="3:29" x14ac:dyDescent="0.25">
      <c r="C165" s="61">
        <f t="shared" si="88"/>
        <v>2006</v>
      </c>
      <c r="D165" s="6">
        <f t="shared" si="87"/>
        <v>2007</v>
      </c>
      <c r="E165" t="s">
        <v>531</v>
      </c>
      <c r="F165" s="67" t="s">
        <v>154</v>
      </c>
      <c r="G165" s="10">
        <v>7.7</v>
      </c>
      <c r="H165" s="66" t="s">
        <v>189</v>
      </c>
      <c r="I165" s="66" t="s">
        <v>189</v>
      </c>
      <c r="J165" s="66" t="s">
        <v>188</v>
      </c>
      <c r="K165" s="16">
        <v>1</v>
      </c>
      <c r="L165" s="1">
        <v>0</v>
      </c>
      <c r="M165" s="48">
        <v>1</v>
      </c>
      <c r="N165" s="1">
        <v>1</v>
      </c>
      <c r="O165" s="1">
        <v>0</v>
      </c>
      <c r="P165" s="1">
        <v>0</v>
      </c>
      <c r="Q165" s="80">
        <v>68</v>
      </c>
      <c r="R165" s="120">
        <v>1</v>
      </c>
      <c r="S165" s="74" t="s">
        <v>227</v>
      </c>
      <c r="T165" t="s">
        <v>143</v>
      </c>
      <c r="U165" s="70">
        <f t="shared" si="82"/>
        <v>0</v>
      </c>
      <c r="V165" s="48">
        <f t="shared" si="83"/>
        <v>1</v>
      </c>
      <c r="W165" s="48">
        <f t="shared" si="84"/>
        <v>0</v>
      </c>
      <c r="X165" s="48">
        <f t="shared" si="85"/>
        <v>0</v>
      </c>
      <c r="Y165" s="61">
        <v>-1</v>
      </c>
      <c r="Z165" s="61" t="s">
        <v>0</v>
      </c>
      <c r="AA165" t="s">
        <v>532</v>
      </c>
      <c r="AC165" t="s">
        <v>524</v>
      </c>
    </row>
    <row r="166" spans="3:29" x14ac:dyDescent="0.25">
      <c r="C166" s="61">
        <f t="shared" si="88"/>
        <v>2006</v>
      </c>
      <c r="D166" s="6">
        <f t="shared" si="87"/>
        <v>2007</v>
      </c>
      <c r="E166" t="s">
        <v>520</v>
      </c>
      <c r="F166" s="67" t="s">
        <v>154</v>
      </c>
      <c r="G166" s="10">
        <v>7.7</v>
      </c>
      <c r="H166" s="66" t="s">
        <v>189</v>
      </c>
      <c r="I166" s="66" t="s">
        <v>189</v>
      </c>
      <c r="J166" s="66" t="s">
        <v>188</v>
      </c>
      <c r="K166" s="16">
        <v>1</v>
      </c>
      <c r="L166" s="1">
        <v>0</v>
      </c>
      <c r="M166" s="48">
        <v>1</v>
      </c>
      <c r="N166" s="1">
        <v>1</v>
      </c>
      <c r="O166" s="1">
        <v>0</v>
      </c>
      <c r="P166" s="1">
        <v>0</v>
      </c>
      <c r="Q166" s="80">
        <v>68</v>
      </c>
      <c r="R166" s="120">
        <v>1</v>
      </c>
      <c r="S166" s="74" t="s">
        <v>227</v>
      </c>
      <c r="T166" t="s">
        <v>143</v>
      </c>
      <c r="U166" s="70">
        <f t="shared" si="82"/>
        <v>0</v>
      </c>
      <c r="V166" s="48">
        <f t="shared" si="83"/>
        <v>1</v>
      </c>
      <c r="W166" s="48">
        <f t="shared" si="84"/>
        <v>0</v>
      </c>
      <c r="X166" s="48">
        <f t="shared" si="85"/>
        <v>0</v>
      </c>
      <c r="Y166" s="61">
        <v>-1</v>
      </c>
      <c r="Z166" s="61" t="s">
        <v>0</v>
      </c>
      <c r="AA166" t="s">
        <v>535</v>
      </c>
      <c r="AC166" t="s">
        <v>524</v>
      </c>
    </row>
    <row r="167" spans="3:29" x14ac:dyDescent="0.25">
      <c r="C167" s="61">
        <f t="shared" si="88"/>
        <v>2006</v>
      </c>
      <c r="D167" s="6">
        <f t="shared" si="87"/>
        <v>2007</v>
      </c>
      <c r="E167" t="s">
        <v>144</v>
      </c>
      <c r="F167" s="67" t="s">
        <v>154</v>
      </c>
      <c r="G167" s="55">
        <v>7.7</v>
      </c>
      <c r="H167" s="66" t="s">
        <v>189</v>
      </c>
      <c r="I167" s="66" t="s">
        <v>189</v>
      </c>
      <c r="J167" s="66" t="s">
        <v>188</v>
      </c>
      <c r="K167" s="16">
        <v>1</v>
      </c>
      <c r="L167" s="1">
        <v>1</v>
      </c>
      <c r="M167" s="49">
        <v>1</v>
      </c>
      <c r="N167" s="1">
        <v>1</v>
      </c>
      <c r="O167" s="1">
        <v>0</v>
      </c>
      <c r="P167" s="1">
        <v>0</v>
      </c>
      <c r="Q167" s="80">
        <v>68</v>
      </c>
      <c r="R167" s="92">
        <v>0</v>
      </c>
      <c r="S167" s="97" t="s">
        <v>143</v>
      </c>
      <c r="T167" s="24" t="s">
        <v>227</v>
      </c>
      <c r="U167" s="70">
        <f t="shared" si="82"/>
        <v>0</v>
      </c>
      <c r="V167" s="48">
        <f t="shared" si="83"/>
        <v>1</v>
      </c>
      <c r="W167" s="48">
        <f t="shared" si="84"/>
        <v>0</v>
      </c>
      <c r="X167" s="48">
        <f t="shared" si="85"/>
        <v>0</v>
      </c>
      <c r="Y167" s="61">
        <v>-1</v>
      </c>
      <c r="Z167" s="61" t="s">
        <v>0</v>
      </c>
      <c r="AA167" t="s">
        <v>17</v>
      </c>
    </row>
    <row r="168" spans="3:29" x14ac:dyDescent="0.25">
      <c r="C168" s="61">
        <f t="shared" si="88"/>
        <v>2006</v>
      </c>
      <c r="D168" s="6">
        <f t="shared" si="87"/>
        <v>2007</v>
      </c>
      <c r="E168" t="s">
        <v>145</v>
      </c>
      <c r="F168" s="67" t="s">
        <v>154</v>
      </c>
      <c r="G168" s="11">
        <v>0</v>
      </c>
      <c r="H168" s="66" t="s">
        <v>189</v>
      </c>
      <c r="I168" s="66" t="s">
        <v>189</v>
      </c>
      <c r="J168" s="66" t="s">
        <v>188</v>
      </c>
      <c r="K168" s="16">
        <v>0</v>
      </c>
      <c r="L168" s="1">
        <v>1</v>
      </c>
      <c r="M168" s="48">
        <v>1</v>
      </c>
      <c r="N168" s="1">
        <v>1</v>
      </c>
      <c r="O168" s="1">
        <v>0</v>
      </c>
      <c r="P168" s="1">
        <v>0</v>
      </c>
      <c r="Q168" s="80">
        <v>68</v>
      </c>
      <c r="R168" s="92">
        <v>0</v>
      </c>
      <c r="S168" s="97" t="s">
        <v>143</v>
      </c>
      <c r="T168" s="24" t="s">
        <v>227</v>
      </c>
      <c r="U168" s="70">
        <f t="shared" si="82"/>
        <v>0</v>
      </c>
      <c r="V168" s="48">
        <f t="shared" si="83"/>
        <v>0</v>
      </c>
      <c r="W168" s="48">
        <f t="shared" si="84"/>
        <v>0</v>
      </c>
      <c r="X168" s="48">
        <f t="shared" si="85"/>
        <v>0</v>
      </c>
      <c r="Y168" s="61">
        <v>-1</v>
      </c>
      <c r="Z168" s="61" t="s">
        <v>0</v>
      </c>
      <c r="AA168" t="s">
        <v>18</v>
      </c>
    </row>
    <row r="169" spans="3:29" x14ac:dyDescent="0.25">
      <c r="C169" s="61">
        <f t="shared" si="88"/>
        <v>2006</v>
      </c>
      <c r="D169" s="6">
        <f t="shared" si="87"/>
        <v>2007</v>
      </c>
      <c r="E169" t="s">
        <v>146</v>
      </c>
      <c r="F169" s="67" t="s">
        <v>154</v>
      </c>
      <c r="G169" s="55">
        <v>7.4</v>
      </c>
      <c r="H169" s="66" t="s">
        <v>189</v>
      </c>
      <c r="I169" s="66" t="s">
        <v>189</v>
      </c>
      <c r="J169" s="66" t="s">
        <v>188</v>
      </c>
      <c r="K169" s="16">
        <v>1</v>
      </c>
      <c r="L169" s="1">
        <v>0</v>
      </c>
      <c r="M169" s="48">
        <v>1</v>
      </c>
      <c r="N169" s="1">
        <v>1</v>
      </c>
      <c r="O169" s="1">
        <v>0</v>
      </c>
      <c r="P169" s="1">
        <v>0</v>
      </c>
      <c r="Q169" s="80">
        <v>68</v>
      </c>
      <c r="R169" s="120">
        <v>1</v>
      </c>
      <c r="S169" s="74" t="s">
        <v>227</v>
      </c>
      <c r="T169" s="123" t="s">
        <v>143</v>
      </c>
      <c r="U169" s="70">
        <f t="shared" si="82"/>
        <v>0</v>
      </c>
      <c r="V169" s="48">
        <f t="shared" si="83"/>
        <v>1</v>
      </c>
      <c r="W169" s="48">
        <f t="shared" si="84"/>
        <v>0</v>
      </c>
      <c r="X169" s="48">
        <f t="shared" si="85"/>
        <v>0</v>
      </c>
      <c r="Y169" s="61">
        <v>-1</v>
      </c>
      <c r="Z169" s="61" t="s">
        <v>0</v>
      </c>
      <c r="AA169" t="s">
        <v>19</v>
      </c>
    </row>
    <row r="170" spans="3:29" x14ac:dyDescent="0.25">
      <c r="C170" s="61">
        <f t="shared" si="88"/>
        <v>2006</v>
      </c>
      <c r="D170" s="6">
        <f t="shared" si="87"/>
        <v>2007</v>
      </c>
      <c r="E170" t="s">
        <v>147</v>
      </c>
      <c r="F170" s="67" t="s">
        <v>154</v>
      </c>
      <c r="G170" s="10">
        <v>7.7</v>
      </c>
      <c r="H170" s="66" t="s">
        <v>189</v>
      </c>
      <c r="I170" s="66" t="s">
        <v>189</v>
      </c>
      <c r="J170" s="66" t="s">
        <v>188</v>
      </c>
      <c r="K170" s="94">
        <v>1</v>
      </c>
      <c r="L170" s="1">
        <v>-1</v>
      </c>
      <c r="M170" s="48">
        <v>0</v>
      </c>
      <c r="N170" s="1">
        <v>1</v>
      </c>
      <c r="O170" s="1">
        <v>0</v>
      </c>
      <c r="P170" s="1">
        <v>0</v>
      </c>
      <c r="Q170" s="80">
        <v>-1</v>
      </c>
      <c r="R170" s="92">
        <v>0</v>
      </c>
      <c r="S170" s="97" t="s">
        <v>143</v>
      </c>
      <c r="T170" s="54" t="s">
        <v>143</v>
      </c>
      <c r="U170" s="70">
        <f t="shared" si="82"/>
        <v>0</v>
      </c>
      <c r="V170" s="48">
        <f t="shared" si="83"/>
        <v>1</v>
      </c>
      <c r="W170" s="48">
        <f t="shared" si="84"/>
        <v>0</v>
      </c>
      <c r="X170" s="48">
        <f t="shared" si="85"/>
        <v>0</v>
      </c>
      <c r="Y170" s="61">
        <v>-1</v>
      </c>
      <c r="Z170" s="61" t="s">
        <v>0</v>
      </c>
      <c r="AA170" t="s">
        <v>20</v>
      </c>
    </row>
    <row r="171" spans="3:29" x14ac:dyDescent="0.25">
      <c r="C171" s="61">
        <f t="shared" si="88"/>
        <v>2006</v>
      </c>
      <c r="D171" s="6">
        <f t="shared" si="87"/>
        <v>2007</v>
      </c>
      <c r="E171" t="s">
        <v>148</v>
      </c>
      <c r="F171" s="67" t="s">
        <v>154</v>
      </c>
      <c r="G171" s="66" t="s">
        <v>155</v>
      </c>
      <c r="H171" s="66" t="s">
        <v>189</v>
      </c>
      <c r="I171" s="66" t="s">
        <v>189</v>
      </c>
      <c r="J171" s="66" t="s">
        <v>188</v>
      </c>
      <c r="K171" s="94">
        <v>1</v>
      </c>
      <c r="L171" s="1">
        <v>-1</v>
      </c>
      <c r="M171" s="48">
        <v>0</v>
      </c>
      <c r="N171" s="1">
        <v>0</v>
      </c>
      <c r="O171" s="1">
        <v>1</v>
      </c>
      <c r="P171" s="1">
        <v>0</v>
      </c>
      <c r="Q171" s="80">
        <v>-1</v>
      </c>
      <c r="R171" s="92">
        <v>0</v>
      </c>
      <c r="S171" s="43" t="s">
        <v>141</v>
      </c>
      <c r="T171" s="123" t="s">
        <v>141</v>
      </c>
      <c r="U171" s="70">
        <f t="shared" si="82"/>
        <v>0</v>
      </c>
      <c r="V171" s="48">
        <f t="shared" si="83"/>
        <v>0</v>
      </c>
      <c r="W171" s="48">
        <f t="shared" si="84"/>
        <v>0</v>
      </c>
      <c r="X171" s="48">
        <f t="shared" si="85"/>
        <v>0</v>
      </c>
      <c r="Y171" s="61">
        <v>-1</v>
      </c>
      <c r="Z171" s="61" t="s">
        <v>0</v>
      </c>
      <c r="AA171" t="s">
        <v>21</v>
      </c>
    </row>
    <row r="172" spans="3:29" x14ac:dyDescent="0.25">
      <c r="C172" s="61">
        <f t="shared" si="88"/>
        <v>2006</v>
      </c>
      <c r="D172" s="6">
        <f t="shared" si="87"/>
        <v>2007</v>
      </c>
      <c r="E172" t="s">
        <v>510</v>
      </c>
      <c r="F172" s="67" t="s">
        <v>154</v>
      </c>
      <c r="G172" s="66" t="s">
        <v>155</v>
      </c>
      <c r="H172" s="66" t="s">
        <v>189</v>
      </c>
      <c r="I172" s="66" t="s">
        <v>189</v>
      </c>
      <c r="J172" s="66" t="s">
        <v>188</v>
      </c>
      <c r="K172" s="94">
        <v>1</v>
      </c>
      <c r="L172" s="1">
        <v>-1</v>
      </c>
      <c r="M172" s="48">
        <v>0</v>
      </c>
      <c r="N172" s="1">
        <v>1</v>
      </c>
      <c r="O172" s="1">
        <v>0</v>
      </c>
      <c r="P172" s="1">
        <v>0</v>
      </c>
      <c r="Q172" s="80">
        <v>-1</v>
      </c>
      <c r="R172" s="92">
        <v>0</v>
      </c>
      <c r="S172" s="97" t="s">
        <v>143</v>
      </c>
      <c r="T172" s="54" t="s">
        <v>143</v>
      </c>
      <c r="U172" s="70">
        <f t="shared" si="82"/>
        <v>0</v>
      </c>
      <c r="V172" s="48">
        <f t="shared" si="83"/>
        <v>0</v>
      </c>
      <c r="W172" s="48">
        <f t="shared" si="84"/>
        <v>0</v>
      </c>
      <c r="X172" s="48">
        <f t="shared" si="85"/>
        <v>0</v>
      </c>
      <c r="Y172" s="61">
        <v>-1</v>
      </c>
      <c r="Z172" s="61" t="s">
        <v>0</v>
      </c>
      <c r="AA172" t="s">
        <v>21</v>
      </c>
    </row>
    <row r="173" spans="3:29" x14ac:dyDescent="0.25">
      <c r="C173" s="61">
        <f t="shared" si="88"/>
        <v>2006</v>
      </c>
      <c r="D173" s="6">
        <f t="shared" si="87"/>
        <v>2007</v>
      </c>
      <c r="E173" t="s">
        <v>367</v>
      </c>
      <c r="F173" s="67" t="s">
        <v>154</v>
      </c>
      <c r="G173" s="66" t="s">
        <v>155</v>
      </c>
      <c r="H173" s="66" t="s">
        <v>189</v>
      </c>
      <c r="I173" s="66" t="s">
        <v>189</v>
      </c>
      <c r="J173" s="66" t="s">
        <v>188</v>
      </c>
      <c r="K173" s="16">
        <v>1</v>
      </c>
      <c r="L173" s="1">
        <v>-1</v>
      </c>
      <c r="M173" s="48">
        <v>1</v>
      </c>
      <c r="N173" s="1">
        <v>1</v>
      </c>
      <c r="O173" s="1">
        <v>0</v>
      </c>
      <c r="P173" s="1">
        <v>1</v>
      </c>
      <c r="Q173" s="80">
        <v>68</v>
      </c>
      <c r="R173" s="92">
        <v>0</v>
      </c>
      <c r="S173" s="97" t="s">
        <v>143</v>
      </c>
      <c r="T173" s="54" t="s">
        <v>143</v>
      </c>
      <c r="U173" s="70">
        <f t="shared" si="82"/>
        <v>0</v>
      </c>
      <c r="V173" s="48">
        <f t="shared" si="83"/>
        <v>0</v>
      </c>
      <c r="W173" s="48">
        <f t="shared" si="84"/>
        <v>0</v>
      </c>
      <c r="X173" s="48">
        <f t="shared" si="85"/>
        <v>0</v>
      </c>
      <c r="Y173" s="61">
        <v>-1</v>
      </c>
      <c r="Z173" s="61" t="s">
        <v>0</v>
      </c>
      <c r="AA173" t="s">
        <v>368</v>
      </c>
    </row>
    <row r="174" spans="3:29" x14ac:dyDescent="0.25">
      <c r="C174" s="61">
        <f t="shared" si="86"/>
        <v>2006</v>
      </c>
      <c r="D174" s="6">
        <f t="shared" si="87"/>
        <v>2007</v>
      </c>
      <c r="E174" t="s">
        <v>366</v>
      </c>
      <c r="F174" s="67" t="s">
        <v>154</v>
      </c>
      <c r="G174" s="10">
        <v>7.7</v>
      </c>
      <c r="H174" s="66" t="s">
        <v>189</v>
      </c>
      <c r="I174" s="66" t="s">
        <v>189</v>
      </c>
      <c r="J174" s="66" t="s">
        <v>188</v>
      </c>
      <c r="K174" s="16">
        <v>1</v>
      </c>
      <c r="L174" s="1">
        <v>-1</v>
      </c>
      <c r="M174" s="48">
        <v>1</v>
      </c>
      <c r="N174" s="1">
        <v>1</v>
      </c>
      <c r="O174" s="1">
        <v>0</v>
      </c>
      <c r="P174" s="1">
        <v>1</v>
      </c>
      <c r="Q174" s="80">
        <v>68</v>
      </c>
      <c r="R174" s="120">
        <v>1</v>
      </c>
      <c r="S174" s="97" t="s">
        <v>143</v>
      </c>
      <c r="T174" s="54" t="s">
        <v>143</v>
      </c>
      <c r="U174" s="70">
        <f t="shared" si="82"/>
        <v>0</v>
      </c>
      <c r="V174" s="48">
        <f t="shared" si="83"/>
        <v>1</v>
      </c>
      <c r="W174" s="48">
        <f t="shared" si="84"/>
        <v>0</v>
      </c>
      <c r="X174" s="48">
        <f t="shared" si="85"/>
        <v>0</v>
      </c>
      <c r="Y174" s="61">
        <v>-1</v>
      </c>
      <c r="Z174" s="61" t="s">
        <v>0</v>
      </c>
      <c r="AA174" t="s">
        <v>369</v>
      </c>
    </row>
    <row r="175" spans="3:29" x14ac:dyDescent="0.25">
      <c r="C175" s="61">
        <f t="shared" si="86"/>
        <v>2006</v>
      </c>
      <c r="D175" s="6">
        <f t="shared" si="87"/>
        <v>2007</v>
      </c>
      <c r="E175" t="s">
        <v>549</v>
      </c>
      <c r="F175" s="67" t="s">
        <v>154</v>
      </c>
      <c r="G175" s="10">
        <v>7.7</v>
      </c>
      <c r="H175" s="66" t="s">
        <v>189</v>
      </c>
      <c r="I175" s="66" t="s">
        <v>189</v>
      </c>
      <c r="J175" s="66" t="s">
        <v>188</v>
      </c>
      <c r="K175" s="16">
        <v>1</v>
      </c>
      <c r="L175" s="1">
        <v>-1</v>
      </c>
      <c r="M175" s="48">
        <v>1</v>
      </c>
      <c r="N175" s="1">
        <v>1</v>
      </c>
      <c r="O175" s="1">
        <v>0</v>
      </c>
      <c r="P175" s="1">
        <v>0</v>
      </c>
      <c r="Q175" s="80">
        <v>68</v>
      </c>
      <c r="R175" s="92">
        <v>0</v>
      </c>
      <c r="S175" s="97" t="s">
        <v>143</v>
      </c>
      <c r="T175" s="54" t="s">
        <v>143</v>
      </c>
      <c r="U175" s="70">
        <f t="shared" si="82"/>
        <v>0</v>
      </c>
      <c r="V175" s="48">
        <f t="shared" si="83"/>
        <v>1</v>
      </c>
      <c r="W175" s="48">
        <f t="shared" si="84"/>
        <v>0</v>
      </c>
      <c r="X175" s="48">
        <f t="shared" si="85"/>
        <v>0</v>
      </c>
      <c r="Y175" s="61">
        <v>-1</v>
      </c>
      <c r="Z175" s="61" t="s">
        <v>0</v>
      </c>
      <c r="AA175" t="s">
        <v>550</v>
      </c>
      <c r="AC175" t="s">
        <v>551</v>
      </c>
    </row>
    <row r="176" spans="3:29" x14ac:dyDescent="0.25">
      <c r="C176" s="61">
        <f t="shared" si="86"/>
        <v>2006</v>
      </c>
      <c r="D176" s="6">
        <f t="shared" si="87"/>
        <v>2007</v>
      </c>
      <c r="E176" t="s">
        <v>728</v>
      </c>
      <c r="F176" s="67" t="s">
        <v>154</v>
      </c>
      <c r="G176" s="10">
        <v>7.7</v>
      </c>
      <c r="H176" s="66" t="s">
        <v>189</v>
      </c>
      <c r="I176" s="66" t="s">
        <v>189</v>
      </c>
      <c r="J176" s="66" t="s">
        <v>188</v>
      </c>
      <c r="K176" s="16">
        <v>1</v>
      </c>
      <c r="L176" s="1">
        <v>-1</v>
      </c>
      <c r="M176" s="48">
        <v>1</v>
      </c>
      <c r="N176" s="1">
        <v>1</v>
      </c>
      <c r="O176" s="1">
        <v>0</v>
      </c>
      <c r="P176" s="1">
        <v>0</v>
      </c>
      <c r="Q176" s="80">
        <v>68</v>
      </c>
      <c r="R176" s="92">
        <v>0</v>
      </c>
      <c r="S176" s="97" t="s">
        <v>143</v>
      </c>
      <c r="T176" s="54" t="s">
        <v>143</v>
      </c>
      <c r="U176" s="70">
        <f t="shared" ref="U176" si="89">IF(AND(ISNUMBER(F176), F176&gt;0), 1, 0)</f>
        <v>0</v>
      </c>
      <c r="V176" s="48">
        <f t="shared" ref="V176" si="90">IF(AND(ISNUMBER(G176), G176&gt;0), 1, 0)</f>
        <v>1</v>
      </c>
      <c r="W176" s="48">
        <f t="shared" si="84"/>
        <v>0</v>
      </c>
      <c r="X176" s="48">
        <f t="shared" ref="X176" si="91">IF(AND(ISNUMBER(J176), J176&gt;0), 1, 0)</f>
        <v>0</v>
      </c>
      <c r="Y176" s="61">
        <v>-1</v>
      </c>
      <c r="Z176" s="61" t="s">
        <v>0</v>
      </c>
      <c r="AA176" t="s">
        <v>729</v>
      </c>
      <c r="AC176" t="s">
        <v>551</v>
      </c>
    </row>
    <row r="177" spans="1:29" x14ac:dyDescent="0.25">
      <c r="C177" s="61">
        <f t="shared" si="86"/>
        <v>2006</v>
      </c>
      <c r="D177" s="6">
        <f t="shared" si="87"/>
        <v>2007</v>
      </c>
      <c r="E177" t="s">
        <v>1065</v>
      </c>
      <c r="F177" s="67" t="s">
        <v>154</v>
      </c>
      <c r="G177" s="10">
        <v>7.7</v>
      </c>
      <c r="H177" s="66" t="s">
        <v>189</v>
      </c>
      <c r="I177" s="66" t="s">
        <v>189</v>
      </c>
      <c r="J177" s="66" t="s">
        <v>188</v>
      </c>
      <c r="K177" s="16">
        <v>1</v>
      </c>
      <c r="L177" s="1">
        <v>-1</v>
      </c>
      <c r="M177" s="48">
        <v>1</v>
      </c>
      <c r="N177" s="1">
        <v>1</v>
      </c>
      <c r="O177" s="1">
        <v>0</v>
      </c>
      <c r="P177" s="1">
        <v>0</v>
      </c>
      <c r="Q177" s="80">
        <v>68</v>
      </c>
      <c r="R177" s="92">
        <v>0</v>
      </c>
      <c r="S177" s="97" t="s">
        <v>143</v>
      </c>
      <c r="T177" s="54" t="s">
        <v>143</v>
      </c>
      <c r="U177" s="70">
        <f t="shared" ref="U177" si="92">IF(AND(ISNUMBER(F177), F177&gt;0), 1, 0)</f>
        <v>0</v>
      </c>
      <c r="V177" s="48">
        <f t="shared" ref="V177" si="93">IF(AND(ISNUMBER(G177), G177&gt;0), 1, 0)</f>
        <v>1</v>
      </c>
      <c r="W177" s="48">
        <f t="shared" ref="W177" si="94">IF(AND(ISNUMBER(H177), H177&gt;0), 1, 0)</f>
        <v>0</v>
      </c>
      <c r="X177" s="48">
        <f t="shared" ref="X177" si="95">IF(AND(ISNUMBER(J177), J177&gt;0), 1, 0)</f>
        <v>0</v>
      </c>
      <c r="Y177" s="61">
        <v>-1</v>
      </c>
      <c r="Z177" s="61" t="s">
        <v>0</v>
      </c>
      <c r="AA177" t="s">
        <v>1063</v>
      </c>
      <c r="AC177" t="s">
        <v>551</v>
      </c>
    </row>
    <row r="178" spans="1:29" x14ac:dyDescent="0.25">
      <c r="A178" t="s">
        <v>519</v>
      </c>
      <c r="D178" s="126"/>
      <c r="E178" s="126"/>
      <c r="F178" s="126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6"/>
    </row>
    <row r="179" spans="1:29" x14ac:dyDescent="0.25">
      <c r="C179" s="60">
        <v>2014</v>
      </c>
      <c r="D179" s="60">
        <v>2014</v>
      </c>
      <c r="E179" t="s">
        <v>141</v>
      </c>
      <c r="F179" s="69">
        <v>78</v>
      </c>
      <c r="G179" s="66" t="s">
        <v>155</v>
      </c>
      <c r="H179" s="66" t="s">
        <v>189</v>
      </c>
      <c r="I179" s="66" t="s">
        <v>189</v>
      </c>
      <c r="J179" s="66" t="s">
        <v>188</v>
      </c>
      <c r="K179" s="16">
        <v>1</v>
      </c>
      <c r="L179" s="1">
        <v>1</v>
      </c>
      <c r="M179" s="48">
        <v>0</v>
      </c>
      <c r="N179" s="1">
        <v>0</v>
      </c>
      <c r="O179" s="1">
        <v>1</v>
      </c>
      <c r="P179" s="1">
        <v>0</v>
      </c>
      <c r="Q179" s="80">
        <v>-1</v>
      </c>
      <c r="R179" s="92">
        <v>0</v>
      </c>
      <c r="S179" s="43" t="s">
        <v>141</v>
      </c>
      <c r="T179" s="24" t="s">
        <v>141</v>
      </c>
      <c r="U179" s="70">
        <f t="shared" ref="U179:U206" si="96">IF(AND(ISNUMBER(F179), F179&gt;0), 1, 0)</f>
        <v>1</v>
      </c>
      <c r="V179" s="48">
        <f t="shared" ref="V179:V206" si="97">IF(AND(ISNUMBER(G179), G179&gt;0), 1, 0)</f>
        <v>0</v>
      </c>
      <c r="W179" s="48">
        <f t="shared" ref="W179:W207" si="98">IF(AND(ISNUMBER(H179), H179&gt;0), 1, 0)</f>
        <v>0</v>
      </c>
      <c r="X179" s="48">
        <f t="shared" ref="X179:X206" si="99">IF(AND(ISNUMBER(J179), J179&gt;0), 1, 0)</f>
        <v>0</v>
      </c>
      <c r="Y179" s="61">
        <v>-1</v>
      </c>
      <c r="Z179" s="61" t="s">
        <v>0</v>
      </c>
      <c r="AA179" t="s">
        <v>13</v>
      </c>
    </row>
    <row r="180" spans="1:29" x14ac:dyDescent="0.25">
      <c r="C180" s="61">
        <f>C179</f>
        <v>2014</v>
      </c>
      <c r="D180" s="6">
        <f>D179</f>
        <v>2014</v>
      </c>
      <c r="E180" t="s">
        <v>385</v>
      </c>
      <c r="F180" s="51">
        <v>75</v>
      </c>
      <c r="G180" s="66" t="s">
        <v>155</v>
      </c>
      <c r="H180" s="66" t="s">
        <v>189</v>
      </c>
      <c r="I180" s="66" t="s">
        <v>189</v>
      </c>
      <c r="J180" s="66" t="s">
        <v>188</v>
      </c>
      <c r="K180" s="16">
        <v>1</v>
      </c>
      <c r="L180" s="1">
        <v>0</v>
      </c>
      <c r="M180" s="48">
        <v>0</v>
      </c>
      <c r="N180" s="1">
        <v>0</v>
      </c>
      <c r="O180" s="1">
        <v>1</v>
      </c>
      <c r="P180" s="1">
        <v>0</v>
      </c>
      <c r="Q180" s="80">
        <v>-1</v>
      </c>
      <c r="R180" s="92">
        <v>0</v>
      </c>
      <c r="S180" s="74" t="s">
        <v>141</v>
      </c>
      <c r="T180" s="124" t="s">
        <v>141</v>
      </c>
      <c r="U180" s="70">
        <f t="shared" si="96"/>
        <v>1</v>
      </c>
      <c r="V180" s="48">
        <f t="shared" si="97"/>
        <v>0</v>
      </c>
      <c r="W180" s="48">
        <f t="shared" si="98"/>
        <v>0</v>
      </c>
      <c r="X180" s="48">
        <f t="shared" si="99"/>
        <v>0</v>
      </c>
      <c r="Y180" s="61">
        <v>-1</v>
      </c>
      <c r="Z180" s="61" t="s">
        <v>0</v>
      </c>
      <c r="AA180" t="s">
        <v>679</v>
      </c>
    </row>
    <row r="181" spans="1:29" x14ac:dyDescent="0.25">
      <c r="C181" s="61">
        <f t="shared" ref="C181:C208" si="100">C180</f>
        <v>2014</v>
      </c>
      <c r="D181" s="6">
        <f t="shared" ref="D181:D208" si="101">D180</f>
        <v>2014</v>
      </c>
      <c r="E181" t="s">
        <v>386</v>
      </c>
      <c r="F181" s="51">
        <v>65</v>
      </c>
      <c r="G181" s="66" t="s">
        <v>155</v>
      </c>
      <c r="H181" s="66" t="s">
        <v>189</v>
      </c>
      <c r="I181" s="66" t="s">
        <v>189</v>
      </c>
      <c r="J181" s="66" t="s">
        <v>188</v>
      </c>
      <c r="K181" s="16">
        <v>1</v>
      </c>
      <c r="L181" s="1">
        <v>0</v>
      </c>
      <c r="M181" s="48">
        <v>0</v>
      </c>
      <c r="N181" s="1">
        <v>0</v>
      </c>
      <c r="O181" s="1">
        <v>1</v>
      </c>
      <c r="P181" s="1">
        <v>0</v>
      </c>
      <c r="Q181" s="80">
        <v>-1</v>
      </c>
      <c r="R181" s="92">
        <v>0</v>
      </c>
      <c r="S181" s="74" t="s">
        <v>141</v>
      </c>
      <c r="T181" s="124" t="s">
        <v>141</v>
      </c>
      <c r="U181" s="70">
        <f t="shared" si="96"/>
        <v>1</v>
      </c>
      <c r="V181" s="48">
        <f t="shared" si="97"/>
        <v>0</v>
      </c>
      <c r="W181" s="48">
        <f t="shared" si="98"/>
        <v>0</v>
      </c>
      <c r="X181" s="48">
        <f t="shared" si="99"/>
        <v>0</v>
      </c>
      <c r="Y181" s="61">
        <v>-1</v>
      </c>
      <c r="Z181" s="61" t="s">
        <v>0</v>
      </c>
      <c r="AA181" t="s">
        <v>680</v>
      </c>
    </row>
    <row r="182" spans="1:29" x14ac:dyDescent="0.25">
      <c r="C182" s="61">
        <f t="shared" si="100"/>
        <v>2014</v>
      </c>
      <c r="D182" s="6">
        <f t="shared" si="101"/>
        <v>2014</v>
      </c>
      <c r="E182" t="s">
        <v>383</v>
      </c>
      <c r="F182" s="51">
        <v>57</v>
      </c>
      <c r="G182" s="66" t="s">
        <v>155</v>
      </c>
      <c r="H182" s="66" t="s">
        <v>189</v>
      </c>
      <c r="I182" s="66" t="s">
        <v>189</v>
      </c>
      <c r="J182" s="66" t="s">
        <v>188</v>
      </c>
      <c r="K182" s="16">
        <v>1</v>
      </c>
      <c r="L182" s="1">
        <v>0</v>
      </c>
      <c r="M182" s="48">
        <v>0</v>
      </c>
      <c r="N182" s="1">
        <v>0</v>
      </c>
      <c r="O182" s="1">
        <v>1</v>
      </c>
      <c r="P182" s="1">
        <v>0</v>
      </c>
      <c r="Q182" s="80">
        <v>-1</v>
      </c>
      <c r="R182" s="92">
        <v>0</v>
      </c>
      <c r="S182" s="74" t="s">
        <v>141</v>
      </c>
      <c r="T182" s="124" t="s">
        <v>141</v>
      </c>
      <c r="U182" s="70">
        <f t="shared" si="96"/>
        <v>1</v>
      </c>
      <c r="V182" s="48">
        <f t="shared" si="97"/>
        <v>0</v>
      </c>
      <c r="W182" s="48">
        <f t="shared" si="98"/>
        <v>0</v>
      </c>
      <c r="X182" s="48">
        <f t="shared" si="99"/>
        <v>0</v>
      </c>
      <c r="Y182" s="61">
        <v>-1</v>
      </c>
      <c r="Z182" s="61" t="s">
        <v>0</v>
      </c>
      <c r="AA182" t="s">
        <v>681</v>
      </c>
    </row>
    <row r="183" spans="1:29" x14ac:dyDescent="0.25">
      <c r="C183" s="61">
        <f t="shared" si="100"/>
        <v>2014</v>
      </c>
      <c r="D183" s="6">
        <f t="shared" si="101"/>
        <v>2014</v>
      </c>
      <c r="E183" s="176" t="s">
        <v>675</v>
      </c>
      <c r="F183" s="186">
        <v>78</v>
      </c>
      <c r="G183" s="66" t="s">
        <v>155</v>
      </c>
      <c r="H183" s="66" t="s">
        <v>189</v>
      </c>
      <c r="I183" s="66" t="s">
        <v>189</v>
      </c>
      <c r="J183" s="66" t="s">
        <v>188</v>
      </c>
      <c r="K183" s="70">
        <v>1</v>
      </c>
      <c r="L183" s="1">
        <v>1</v>
      </c>
      <c r="M183" s="48">
        <v>0</v>
      </c>
      <c r="N183" s="48">
        <v>0</v>
      </c>
      <c r="O183" s="48">
        <v>1</v>
      </c>
      <c r="P183" s="178">
        <v>0</v>
      </c>
      <c r="Q183" s="70">
        <v>-1</v>
      </c>
      <c r="R183" s="70">
        <v>0</v>
      </c>
      <c r="S183" s="97" t="s">
        <v>141</v>
      </c>
      <c r="T183" s="54" t="s">
        <v>141</v>
      </c>
      <c r="U183" s="92">
        <f t="shared" si="96"/>
        <v>1</v>
      </c>
      <c r="V183" s="6">
        <f t="shared" si="97"/>
        <v>0</v>
      </c>
      <c r="W183" s="6">
        <f t="shared" si="98"/>
        <v>0</v>
      </c>
      <c r="X183" s="6">
        <f t="shared" si="99"/>
        <v>0</v>
      </c>
      <c r="Y183" s="61">
        <v>-1</v>
      </c>
      <c r="Z183" s="61" t="s">
        <v>0</v>
      </c>
      <c r="AA183" s="54" t="s">
        <v>678</v>
      </c>
    </row>
    <row r="184" spans="1:29" x14ac:dyDescent="0.25">
      <c r="C184" s="61">
        <f t="shared" si="100"/>
        <v>2014</v>
      </c>
      <c r="D184" s="6">
        <f t="shared" si="101"/>
        <v>2014</v>
      </c>
      <c r="E184" t="s">
        <v>384</v>
      </c>
      <c r="F184" s="51">
        <v>61</v>
      </c>
      <c r="G184" s="66" t="s">
        <v>155</v>
      </c>
      <c r="H184" s="66" t="s">
        <v>189</v>
      </c>
      <c r="I184" s="66" t="s">
        <v>189</v>
      </c>
      <c r="J184" s="66" t="s">
        <v>188</v>
      </c>
      <c r="K184" s="16">
        <v>1</v>
      </c>
      <c r="L184" s="1">
        <v>0</v>
      </c>
      <c r="M184" s="48">
        <v>0</v>
      </c>
      <c r="N184" s="1">
        <v>0</v>
      </c>
      <c r="O184" s="1">
        <v>1</v>
      </c>
      <c r="P184" s="1">
        <v>0</v>
      </c>
      <c r="Q184" s="80">
        <v>-1</v>
      </c>
      <c r="R184" s="92">
        <v>0</v>
      </c>
      <c r="S184" s="74" t="s">
        <v>141</v>
      </c>
      <c r="T184" s="124" t="s">
        <v>141</v>
      </c>
      <c r="U184" s="70">
        <f t="shared" si="96"/>
        <v>1</v>
      </c>
      <c r="V184" s="48">
        <f t="shared" si="97"/>
        <v>0</v>
      </c>
      <c r="W184" s="48">
        <f t="shared" si="98"/>
        <v>0</v>
      </c>
      <c r="X184" s="48">
        <f t="shared" si="99"/>
        <v>0</v>
      </c>
      <c r="Y184" s="61">
        <v>-1</v>
      </c>
      <c r="Z184" s="61" t="s">
        <v>0</v>
      </c>
      <c r="AA184" t="s">
        <v>14</v>
      </c>
    </row>
    <row r="185" spans="1:29" x14ac:dyDescent="0.25">
      <c r="C185" s="61">
        <f t="shared" si="100"/>
        <v>2014</v>
      </c>
      <c r="D185" s="6">
        <f t="shared" si="101"/>
        <v>2014</v>
      </c>
      <c r="E185" t="s">
        <v>142</v>
      </c>
      <c r="F185" s="51">
        <v>80</v>
      </c>
      <c r="G185" s="66" t="s">
        <v>155</v>
      </c>
      <c r="H185" s="66" t="s">
        <v>189</v>
      </c>
      <c r="I185" s="66" t="s">
        <v>189</v>
      </c>
      <c r="J185" s="66" t="s">
        <v>188</v>
      </c>
      <c r="K185" s="16">
        <v>1</v>
      </c>
      <c r="L185" s="1">
        <v>-1</v>
      </c>
      <c r="M185" s="48">
        <v>0</v>
      </c>
      <c r="N185" s="1">
        <v>0</v>
      </c>
      <c r="O185" s="1">
        <v>1</v>
      </c>
      <c r="P185" s="1">
        <v>0</v>
      </c>
      <c r="Q185" s="80">
        <v>-1</v>
      </c>
      <c r="R185" s="92">
        <v>0</v>
      </c>
      <c r="S185" s="43" t="s">
        <v>141</v>
      </c>
      <c r="T185" s="124" t="s">
        <v>141</v>
      </c>
      <c r="U185" s="70">
        <f t="shared" si="96"/>
        <v>1</v>
      </c>
      <c r="V185" s="48">
        <f t="shared" si="97"/>
        <v>0</v>
      </c>
      <c r="W185" s="48">
        <f t="shared" si="98"/>
        <v>0</v>
      </c>
      <c r="X185" s="48">
        <f t="shared" si="99"/>
        <v>0</v>
      </c>
      <c r="Y185" s="61">
        <v>-1</v>
      </c>
      <c r="Z185" s="61" t="s">
        <v>0</v>
      </c>
      <c r="AA185" t="s">
        <v>15</v>
      </c>
    </row>
    <row r="186" spans="1:29" x14ac:dyDescent="0.25">
      <c r="C186" s="61">
        <f t="shared" si="100"/>
        <v>2014</v>
      </c>
      <c r="D186" s="6">
        <f t="shared" si="101"/>
        <v>2014</v>
      </c>
      <c r="E186" t="s">
        <v>521</v>
      </c>
      <c r="F186" s="67" t="s">
        <v>154</v>
      </c>
      <c r="G186" s="66" t="s">
        <v>155</v>
      </c>
      <c r="H186" s="66" t="s">
        <v>189</v>
      </c>
      <c r="I186" s="66" t="s">
        <v>189</v>
      </c>
      <c r="J186" s="66" t="s">
        <v>188</v>
      </c>
      <c r="K186" s="16">
        <v>1</v>
      </c>
      <c r="L186" s="1">
        <v>0</v>
      </c>
      <c r="M186" s="48">
        <v>0</v>
      </c>
      <c r="N186" s="1">
        <v>0</v>
      </c>
      <c r="O186" s="1">
        <v>0</v>
      </c>
      <c r="P186" s="1">
        <v>0</v>
      </c>
      <c r="Q186" s="80">
        <v>-1</v>
      </c>
      <c r="R186" s="120">
        <v>1</v>
      </c>
      <c r="S186" s="43" t="s">
        <v>141</v>
      </c>
      <c r="T186" s="124" t="s">
        <v>141</v>
      </c>
      <c r="U186" s="70">
        <f t="shared" si="96"/>
        <v>0</v>
      </c>
      <c r="V186" s="48">
        <f t="shared" si="97"/>
        <v>0</v>
      </c>
      <c r="W186" s="48">
        <f t="shared" si="98"/>
        <v>0</v>
      </c>
      <c r="X186" s="48">
        <f t="shared" si="99"/>
        <v>0</v>
      </c>
      <c r="Y186" s="61">
        <v>-1</v>
      </c>
      <c r="Z186" s="61" t="s">
        <v>0</v>
      </c>
      <c r="AA186" t="s">
        <v>522</v>
      </c>
      <c r="AC186" t="s">
        <v>524</v>
      </c>
    </row>
    <row r="187" spans="1:29" x14ac:dyDescent="0.25">
      <c r="C187" s="61">
        <f t="shared" si="100"/>
        <v>2014</v>
      </c>
      <c r="D187" s="6">
        <f t="shared" si="101"/>
        <v>2014</v>
      </c>
      <c r="E187" t="s">
        <v>143</v>
      </c>
      <c r="F187" s="67" t="s">
        <v>154</v>
      </c>
      <c r="G187" s="10">
        <v>7.7</v>
      </c>
      <c r="H187" s="66" t="s">
        <v>189</v>
      </c>
      <c r="I187" s="66" t="s">
        <v>189</v>
      </c>
      <c r="J187" s="66" t="s">
        <v>188</v>
      </c>
      <c r="K187" s="16">
        <v>1</v>
      </c>
      <c r="L187" s="1">
        <v>1</v>
      </c>
      <c r="M187" s="48">
        <v>1</v>
      </c>
      <c r="N187" s="1">
        <v>1</v>
      </c>
      <c r="O187" s="1">
        <v>0</v>
      </c>
      <c r="P187" s="1">
        <v>0</v>
      </c>
      <c r="Q187" s="80">
        <v>68</v>
      </c>
      <c r="R187" s="92">
        <v>0</v>
      </c>
      <c r="S187" s="97" t="s">
        <v>143</v>
      </c>
      <c r="T187" s="24" t="s">
        <v>143</v>
      </c>
      <c r="U187" s="70">
        <f t="shared" si="96"/>
        <v>0</v>
      </c>
      <c r="V187" s="48">
        <f t="shared" si="97"/>
        <v>1</v>
      </c>
      <c r="W187" s="48">
        <f t="shared" si="98"/>
        <v>0</v>
      </c>
      <c r="X187" s="48">
        <f t="shared" si="99"/>
        <v>0</v>
      </c>
      <c r="Y187" s="61">
        <v>-1</v>
      </c>
      <c r="Z187" s="61" t="s">
        <v>0</v>
      </c>
      <c r="AA187" t="s">
        <v>16</v>
      </c>
    </row>
    <row r="188" spans="1:29" x14ac:dyDescent="0.25">
      <c r="C188" s="61">
        <f t="shared" si="100"/>
        <v>2014</v>
      </c>
      <c r="D188" s="6">
        <f t="shared" si="101"/>
        <v>2014</v>
      </c>
      <c r="E188" s="176" t="s">
        <v>682</v>
      </c>
      <c r="F188" s="67" t="s">
        <v>154</v>
      </c>
      <c r="G188" s="66" t="s">
        <v>155</v>
      </c>
      <c r="H188" s="66" t="s">
        <v>189</v>
      </c>
      <c r="I188" s="66" t="s">
        <v>189</v>
      </c>
      <c r="J188" s="185">
        <v>2.5</v>
      </c>
      <c r="K188" s="70">
        <v>1</v>
      </c>
      <c r="L188" s="48">
        <v>0</v>
      </c>
      <c r="M188" s="48">
        <v>1</v>
      </c>
      <c r="N188" s="48">
        <v>1</v>
      </c>
      <c r="O188" s="48">
        <v>0</v>
      </c>
      <c r="P188" s="178">
        <v>0</v>
      </c>
      <c r="Q188" s="70">
        <v>68</v>
      </c>
      <c r="R188" s="70">
        <v>0</v>
      </c>
      <c r="S188" s="97" t="s">
        <v>143</v>
      </c>
      <c r="T188" s="54" t="s">
        <v>143</v>
      </c>
      <c r="U188" s="92">
        <f t="shared" si="96"/>
        <v>0</v>
      </c>
      <c r="V188" s="6">
        <f t="shared" si="97"/>
        <v>0</v>
      </c>
      <c r="W188" s="6">
        <f t="shared" si="98"/>
        <v>0</v>
      </c>
      <c r="X188" s="6">
        <f t="shared" si="99"/>
        <v>1</v>
      </c>
      <c r="Y188" s="61">
        <v>-1</v>
      </c>
      <c r="Z188" s="61" t="s">
        <v>0</v>
      </c>
      <c r="AA188" s="54" t="s">
        <v>684</v>
      </c>
    </row>
    <row r="189" spans="1:29" x14ac:dyDescent="0.25">
      <c r="C189" s="61">
        <f t="shared" si="100"/>
        <v>2014</v>
      </c>
      <c r="D189" s="6">
        <f t="shared" si="101"/>
        <v>2014</v>
      </c>
      <c r="E189" s="176" t="s">
        <v>683</v>
      </c>
      <c r="F189" s="67" t="s">
        <v>154</v>
      </c>
      <c r="G189" s="66" t="s">
        <v>155</v>
      </c>
      <c r="H189" s="66" t="s">
        <v>189</v>
      </c>
      <c r="I189" s="66" t="s">
        <v>189</v>
      </c>
      <c r="J189" s="185">
        <v>3</v>
      </c>
      <c r="K189" s="70">
        <v>1</v>
      </c>
      <c r="L189" s="48">
        <v>0</v>
      </c>
      <c r="M189" s="48">
        <v>1</v>
      </c>
      <c r="N189" s="48">
        <v>1</v>
      </c>
      <c r="O189" s="48">
        <v>0</v>
      </c>
      <c r="P189" s="178">
        <v>0</v>
      </c>
      <c r="Q189" s="70">
        <v>68</v>
      </c>
      <c r="R189" s="70">
        <v>0</v>
      </c>
      <c r="S189" s="97" t="s">
        <v>143</v>
      </c>
      <c r="T189" s="54" t="s">
        <v>143</v>
      </c>
      <c r="U189" s="92">
        <f t="shared" si="96"/>
        <v>0</v>
      </c>
      <c r="V189" s="6">
        <f t="shared" si="97"/>
        <v>0</v>
      </c>
      <c r="W189" s="6">
        <f t="shared" si="98"/>
        <v>0</v>
      </c>
      <c r="X189" s="6">
        <f t="shared" si="99"/>
        <v>1</v>
      </c>
      <c r="Y189" s="61">
        <v>-1</v>
      </c>
      <c r="Z189" s="61" t="s">
        <v>0</v>
      </c>
      <c r="AA189" s="54" t="s">
        <v>685</v>
      </c>
    </row>
    <row r="190" spans="1:29" x14ac:dyDescent="0.25">
      <c r="C190" s="61">
        <f t="shared" si="100"/>
        <v>2014</v>
      </c>
      <c r="D190" s="6">
        <f t="shared" si="101"/>
        <v>2014</v>
      </c>
      <c r="E190" t="s">
        <v>511</v>
      </c>
      <c r="F190" s="67" t="s">
        <v>154</v>
      </c>
      <c r="G190" s="10">
        <v>7.7</v>
      </c>
      <c r="H190" s="66" t="s">
        <v>189</v>
      </c>
      <c r="I190" s="66" t="s">
        <v>189</v>
      </c>
      <c r="J190" s="66" t="s">
        <v>188</v>
      </c>
      <c r="K190" s="16">
        <v>1</v>
      </c>
      <c r="L190" s="1">
        <v>1</v>
      </c>
      <c r="M190" s="48">
        <v>1</v>
      </c>
      <c r="N190" s="1">
        <v>1</v>
      </c>
      <c r="O190" s="1">
        <v>0</v>
      </c>
      <c r="P190" s="1">
        <v>0</v>
      </c>
      <c r="Q190" s="80">
        <v>68</v>
      </c>
      <c r="R190" s="92">
        <v>0</v>
      </c>
      <c r="S190" s="97" t="s">
        <v>143</v>
      </c>
      <c r="T190" s="24" t="s">
        <v>143</v>
      </c>
      <c r="U190" s="70">
        <f t="shared" si="96"/>
        <v>0</v>
      </c>
      <c r="V190" s="48">
        <f t="shared" si="97"/>
        <v>1</v>
      </c>
      <c r="W190" s="48">
        <f t="shared" si="98"/>
        <v>0</v>
      </c>
      <c r="X190" s="48">
        <f t="shared" si="99"/>
        <v>0</v>
      </c>
      <c r="Y190" s="61">
        <v>-1</v>
      </c>
      <c r="Z190" s="61" t="s">
        <v>0</v>
      </c>
      <c r="AA190" t="s">
        <v>512</v>
      </c>
    </row>
    <row r="191" spans="1:29" x14ac:dyDescent="0.25">
      <c r="C191" s="61">
        <f t="shared" si="100"/>
        <v>2014</v>
      </c>
      <c r="D191" s="6">
        <f t="shared" si="101"/>
        <v>2014</v>
      </c>
      <c r="E191" t="s">
        <v>530</v>
      </c>
      <c r="F191" s="67" t="s">
        <v>154</v>
      </c>
      <c r="G191" s="10">
        <v>7.7</v>
      </c>
      <c r="H191" s="66" t="s">
        <v>189</v>
      </c>
      <c r="I191" s="66" t="s">
        <v>189</v>
      </c>
      <c r="J191" s="66" t="s">
        <v>188</v>
      </c>
      <c r="K191" s="16">
        <v>1</v>
      </c>
      <c r="L191" s="1">
        <v>0</v>
      </c>
      <c r="M191" s="48">
        <v>1</v>
      </c>
      <c r="N191" s="1">
        <v>1</v>
      </c>
      <c r="O191" s="1">
        <v>0</v>
      </c>
      <c r="P191" s="1">
        <v>0</v>
      </c>
      <c r="Q191" s="80">
        <v>68</v>
      </c>
      <c r="R191" s="120">
        <v>1</v>
      </c>
      <c r="S191" s="74" t="s">
        <v>143</v>
      </c>
      <c r="T191" t="s">
        <v>143</v>
      </c>
      <c r="U191" s="70">
        <f t="shared" si="96"/>
        <v>0</v>
      </c>
      <c r="V191" s="48">
        <f t="shared" si="97"/>
        <v>1</v>
      </c>
      <c r="W191" s="48">
        <f t="shared" si="98"/>
        <v>0</v>
      </c>
      <c r="X191" s="48">
        <f t="shared" si="99"/>
        <v>0</v>
      </c>
      <c r="Y191" s="61">
        <v>-1</v>
      </c>
      <c r="Z191" s="61" t="s">
        <v>0</v>
      </c>
      <c r="AA191" t="s">
        <v>529</v>
      </c>
      <c r="AC191" t="s">
        <v>525</v>
      </c>
    </row>
    <row r="192" spans="1:29" x14ac:dyDescent="0.25">
      <c r="C192" s="61">
        <f t="shared" si="100"/>
        <v>2014</v>
      </c>
      <c r="D192" s="6">
        <f t="shared" si="101"/>
        <v>2014</v>
      </c>
      <c r="E192" t="s">
        <v>531</v>
      </c>
      <c r="F192" s="67" t="s">
        <v>154</v>
      </c>
      <c r="G192" s="10">
        <v>7.7</v>
      </c>
      <c r="H192" s="66" t="s">
        <v>189</v>
      </c>
      <c r="I192" s="66" t="s">
        <v>189</v>
      </c>
      <c r="J192" s="66" t="s">
        <v>188</v>
      </c>
      <c r="K192" s="16">
        <v>1</v>
      </c>
      <c r="L192" s="1">
        <v>0</v>
      </c>
      <c r="M192" s="48">
        <v>1</v>
      </c>
      <c r="N192" s="1">
        <v>1</v>
      </c>
      <c r="O192" s="1">
        <v>0</v>
      </c>
      <c r="P192" s="1">
        <v>0</v>
      </c>
      <c r="Q192" s="80">
        <v>68</v>
      </c>
      <c r="R192" s="120">
        <v>1</v>
      </c>
      <c r="S192" s="74" t="s">
        <v>143</v>
      </c>
      <c r="T192" t="s">
        <v>143</v>
      </c>
      <c r="U192" s="70">
        <f t="shared" si="96"/>
        <v>0</v>
      </c>
      <c r="V192" s="48">
        <f t="shared" si="97"/>
        <v>1</v>
      </c>
      <c r="W192" s="48">
        <f t="shared" si="98"/>
        <v>0</v>
      </c>
      <c r="X192" s="48">
        <f t="shared" si="99"/>
        <v>0</v>
      </c>
      <c r="Y192" s="61">
        <v>-1</v>
      </c>
      <c r="Z192" s="61" t="s">
        <v>0</v>
      </c>
      <c r="AA192" t="s">
        <v>532</v>
      </c>
      <c r="AC192" t="s">
        <v>524</v>
      </c>
    </row>
    <row r="193" spans="3:29" x14ac:dyDescent="0.25">
      <c r="C193" s="61">
        <f t="shared" si="100"/>
        <v>2014</v>
      </c>
      <c r="D193" s="6">
        <f t="shared" si="101"/>
        <v>2014</v>
      </c>
      <c r="E193" t="s">
        <v>520</v>
      </c>
      <c r="F193" s="67" t="s">
        <v>154</v>
      </c>
      <c r="G193" s="10">
        <v>7.7</v>
      </c>
      <c r="H193" s="66" t="s">
        <v>189</v>
      </c>
      <c r="I193" s="66" t="s">
        <v>189</v>
      </c>
      <c r="J193" s="66" t="s">
        <v>188</v>
      </c>
      <c r="K193" s="16">
        <v>1</v>
      </c>
      <c r="L193" s="1">
        <v>0</v>
      </c>
      <c r="M193" s="48">
        <v>1</v>
      </c>
      <c r="N193" s="1">
        <v>1</v>
      </c>
      <c r="O193" s="1">
        <v>0</v>
      </c>
      <c r="P193" s="1">
        <v>0</v>
      </c>
      <c r="Q193" s="80">
        <v>68</v>
      </c>
      <c r="R193" s="120">
        <v>1</v>
      </c>
      <c r="S193" s="74" t="s">
        <v>143</v>
      </c>
      <c r="T193" t="s">
        <v>143</v>
      </c>
      <c r="U193" s="70">
        <f t="shared" si="96"/>
        <v>0</v>
      </c>
      <c r="V193" s="48">
        <f t="shared" si="97"/>
        <v>1</v>
      </c>
      <c r="W193" s="48">
        <f t="shared" si="98"/>
        <v>0</v>
      </c>
      <c r="X193" s="48">
        <f t="shared" si="99"/>
        <v>0</v>
      </c>
      <c r="Y193" s="61">
        <v>-1</v>
      </c>
      <c r="Z193" s="61" t="s">
        <v>0</v>
      </c>
      <c r="AA193" t="s">
        <v>535</v>
      </c>
      <c r="AC193" t="s">
        <v>524</v>
      </c>
    </row>
    <row r="194" spans="3:29" x14ac:dyDescent="0.25">
      <c r="C194" s="61">
        <f t="shared" si="100"/>
        <v>2014</v>
      </c>
      <c r="D194" s="6">
        <f t="shared" si="101"/>
        <v>2014</v>
      </c>
      <c r="E194" s="176" t="s">
        <v>686</v>
      </c>
      <c r="F194" s="67" t="s">
        <v>154</v>
      </c>
      <c r="G194" s="185">
        <v>8.1999999999999993</v>
      </c>
      <c r="H194" s="66" t="s">
        <v>189</v>
      </c>
      <c r="I194" s="66" t="s">
        <v>189</v>
      </c>
      <c r="J194" s="66" t="s">
        <v>188</v>
      </c>
      <c r="K194" s="70">
        <v>1</v>
      </c>
      <c r="L194" s="48">
        <v>1</v>
      </c>
      <c r="M194" s="48">
        <v>1</v>
      </c>
      <c r="N194" s="48">
        <v>1</v>
      </c>
      <c r="O194" s="48">
        <v>0</v>
      </c>
      <c r="P194" s="48">
        <v>0</v>
      </c>
      <c r="Q194" s="181">
        <v>68</v>
      </c>
      <c r="R194" s="70">
        <v>1</v>
      </c>
      <c r="S194" s="97" t="s">
        <v>143</v>
      </c>
      <c r="T194" s="54" t="s">
        <v>143</v>
      </c>
      <c r="U194" s="92">
        <f t="shared" si="96"/>
        <v>0</v>
      </c>
      <c r="V194" s="6">
        <f t="shared" si="97"/>
        <v>1</v>
      </c>
      <c r="W194" s="6">
        <f t="shared" si="98"/>
        <v>0</v>
      </c>
      <c r="X194" s="6">
        <f t="shared" si="99"/>
        <v>0</v>
      </c>
      <c r="Y194" s="61">
        <v>-1</v>
      </c>
      <c r="Z194" s="61" t="s">
        <v>0</v>
      </c>
      <c r="AA194" s="54" t="s">
        <v>689</v>
      </c>
    </row>
    <row r="195" spans="3:29" x14ac:dyDescent="0.25">
      <c r="C195" s="61">
        <f t="shared" si="100"/>
        <v>2014</v>
      </c>
      <c r="D195" s="6">
        <f t="shared" si="101"/>
        <v>2014</v>
      </c>
      <c r="E195" s="176" t="s">
        <v>687</v>
      </c>
      <c r="F195" s="67" t="s">
        <v>154</v>
      </c>
      <c r="G195" s="185">
        <v>8.1999999999999993</v>
      </c>
      <c r="H195" s="66" t="s">
        <v>189</v>
      </c>
      <c r="I195" s="66" t="s">
        <v>189</v>
      </c>
      <c r="J195" s="66" t="s">
        <v>188</v>
      </c>
      <c r="K195" s="70">
        <v>1</v>
      </c>
      <c r="L195" s="48">
        <v>1</v>
      </c>
      <c r="M195" s="48">
        <v>1</v>
      </c>
      <c r="N195" s="48">
        <v>1</v>
      </c>
      <c r="O195" s="48">
        <v>0</v>
      </c>
      <c r="P195" s="48">
        <v>0</v>
      </c>
      <c r="Q195" s="181">
        <v>68</v>
      </c>
      <c r="R195" s="70">
        <v>1</v>
      </c>
      <c r="S195" s="97" t="s">
        <v>143</v>
      </c>
      <c r="T195" s="54" t="s">
        <v>143</v>
      </c>
      <c r="U195" s="92">
        <f t="shared" si="96"/>
        <v>0</v>
      </c>
      <c r="V195" s="6">
        <f t="shared" si="97"/>
        <v>1</v>
      </c>
      <c r="W195" s="6">
        <f t="shared" si="98"/>
        <v>0</v>
      </c>
      <c r="X195" s="6">
        <f t="shared" si="99"/>
        <v>0</v>
      </c>
      <c r="Y195" s="61">
        <v>-1</v>
      </c>
      <c r="Z195" s="61" t="s">
        <v>0</v>
      </c>
      <c r="AA195" s="54" t="s">
        <v>690</v>
      </c>
    </row>
    <row r="196" spans="3:29" x14ac:dyDescent="0.25">
      <c r="C196" s="61">
        <f t="shared" si="100"/>
        <v>2014</v>
      </c>
      <c r="D196" s="6">
        <f t="shared" si="101"/>
        <v>2014</v>
      </c>
      <c r="E196" s="176" t="s">
        <v>688</v>
      </c>
      <c r="F196" s="67" t="s">
        <v>154</v>
      </c>
      <c r="G196" s="185">
        <v>8.1999999999999993</v>
      </c>
      <c r="H196" s="66" t="s">
        <v>189</v>
      </c>
      <c r="I196" s="66" t="s">
        <v>189</v>
      </c>
      <c r="J196" s="66" t="s">
        <v>188</v>
      </c>
      <c r="K196" s="70">
        <v>1</v>
      </c>
      <c r="L196" s="48">
        <v>1</v>
      </c>
      <c r="M196" s="48">
        <v>1</v>
      </c>
      <c r="N196" s="48">
        <v>1</v>
      </c>
      <c r="O196" s="48">
        <v>0</v>
      </c>
      <c r="P196" s="48">
        <v>0</v>
      </c>
      <c r="Q196" s="181">
        <v>68</v>
      </c>
      <c r="R196" s="70">
        <v>1</v>
      </c>
      <c r="S196" s="97" t="s">
        <v>143</v>
      </c>
      <c r="T196" s="54" t="s">
        <v>143</v>
      </c>
      <c r="U196" s="92">
        <f t="shared" si="96"/>
        <v>0</v>
      </c>
      <c r="V196" s="6">
        <f t="shared" si="97"/>
        <v>1</v>
      </c>
      <c r="W196" s="6">
        <f t="shared" si="98"/>
        <v>0</v>
      </c>
      <c r="X196" s="6">
        <f t="shared" si="99"/>
        <v>0</v>
      </c>
      <c r="Y196" s="61">
        <v>-1</v>
      </c>
      <c r="Z196" s="61" t="s">
        <v>0</v>
      </c>
      <c r="AA196" s="54" t="s">
        <v>691</v>
      </c>
    </row>
    <row r="197" spans="3:29" x14ac:dyDescent="0.25">
      <c r="C197" s="61">
        <f t="shared" si="100"/>
        <v>2014</v>
      </c>
      <c r="D197" s="6">
        <f t="shared" si="101"/>
        <v>2014</v>
      </c>
      <c r="E197" t="s">
        <v>144</v>
      </c>
      <c r="F197" s="67" t="s">
        <v>154</v>
      </c>
      <c r="G197" s="55">
        <v>7.7</v>
      </c>
      <c r="H197" s="66" t="s">
        <v>189</v>
      </c>
      <c r="I197" s="66" t="s">
        <v>189</v>
      </c>
      <c r="J197" s="66" t="s">
        <v>188</v>
      </c>
      <c r="K197" s="16">
        <v>1</v>
      </c>
      <c r="L197" s="1">
        <v>1</v>
      </c>
      <c r="M197" s="49">
        <v>1</v>
      </c>
      <c r="N197" s="1">
        <v>1</v>
      </c>
      <c r="O197" s="1">
        <v>0</v>
      </c>
      <c r="P197" s="1">
        <v>0</v>
      </c>
      <c r="Q197" s="80">
        <v>68</v>
      </c>
      <c r="R197" s="92">
        <v>0</v>
      </c>
      <c r="S197" s="97" t="s">
        <v>143</v>
      </c>
      <c r="T197" s="24" t="s">
        <v>143</v>
      </c>
      <c r="U197" s="70">
        <f t="shared" si="96"/>
        <v>0</v>
      </c>
      <c r="V197" s="48">
        <f t="shared" si="97"/>
        <v>1</v>
      </c>
      <c r="W197" s="48">
        <f t="shared" si="98"/>
        <v>0</v>
      </c>
      <c r="X197" s="48">
        <f t="shared" si="99"/>
        <v>0</v>
      </c>
      <c r="Y197" s="61">
        <v>-1</v>
      </c>
      <c r="Z197" s="61" t="s">
        <v>0</v>
      </c>
      <c r="AA197" t="s">
        <v>17</v>
      </c>
    </row>
    <row r="198" spans="3:29" x14ac:dyDescent="0.25">
      <c r="C198" s="61">
        <f t="shared" si="100"/>
        <v>2014</v>
      </c>
      <c r="D198" s="6">
        <f t="shared" si="101"/>
        <v>2014</v>
      </c>
      <c r="E198" t="s">
        <v>145</v>
      </c>
      <c r="F198" s="67" t="s">
        <v>154</v>
      </c>
      <c r="G198" s="11">
        <v>0</v>
      </c>
      <c r="H198" s="66" t="s">
        <v>189</v>
      </c>
      <c r="I198" s="66" t="s">
        <v>189</v>
      </c>
      <c r="J198" s="66" t="s">
        <v>188</v>
      </c>
      <c r="K198" s="16">
        <v>0</v>
      </c>
      <c r="L198" s="1">
        <v>1</v>
      </c>
      <c r="M198" s="48">
        <v>1</v>
      </c>
      <c r="N198" s="1">
        <v>1</v>
      </c>
      <c r="O198" s="1">
        <v>0</v>
      </c>
      <c r="P198" s="1">
        <v>0</v>
      </c>
      <c r="Q198" s="80">
        <v>68</v>
      </c>
      <c r="R198" s="92">
        <v>0</v>
      </c>
      <c r="S198" s="97" t="s">
        <v>143</v>
      </c>
      <c r="T198" s="24" t="s">
        <v>143</v>
      </c>
      <c r="U198" s="70">
        <f t="shared" si="96"/>
        <v>0</v>
      </c>
      <c r="V198" s="48">
        <f t="shared" si="97"/>
        <v>0</v>
      </c>
      <c r="W198" s="48">
        <f t="shared" si="98"/>
        <v>0</v>
      </c>
      <c r="X198" s="48">
        <f t="shared" si="99"/>
        <v>0</v>
      </c>
      <c r="Y198" s="61">
        <v>-1</v>
      </c>
      <c r="Z198" s="61" t="s">
        <v>0</v>
      </c>
      <c r="AA198" t="s">
        <v>18</v>
      </c>
    </row>
    <row r="199" spans="3:29" x14ac:dyDescent="0.25">
      <c r="C199" s="61">
        <f t="shared" si="100"/>
        <v>2014</v>
      </c>
      <c r="D199" s="6">
        <f t="shared" si="101"/>
        <v>2014</v>
      </c>
      <c r="E199" t="s">
        <v>146</v>
      </c>
      <c r="F199" s="67" t="s">
        <v>154</v>
      </c>
      <c r="G199" s="55">
        <v>7.4</v>
      </c>
      <c r="H199" s="66" t="s">
        <v>189</v>
      </c>
      <c r="I199" s="66" t="s">
        <v>189</v>
      </c>
      <c r="J199" s="66" t="s">
        <v>188</v>
      </c>
      <c r="K199" s="16">
        <v>1</v>
      </c>
      <c r="L199" s="1">
        <v>0</v>
      </c>
      <c r="M199" s="48">
        <v>1</v>
      </c>
      <c r="N199" s="1">
        <v>1</v>
      </c>
      <c r="O199" s="1">
        <v>0</v>
      </c>
      <c r="P199" s="1">
        <v>0</v>
      </c>
      <c r="Q199" s="80">
        <v>68</v>
      </c>
      <c r="R199" s="120">
        <v>1</v>
      </c>
      <c r="S199" s="74" t="s">
        <v>143</v>
      </c>
      <c r="T199" s="123" t="s">
        <v>143</v>
      </c>
      <c r="U199" s="70">
        <f t="shared" si="96"/>
        <v>0</v>
      </c>
      <c r="V199" s="48">
        <f t="shared" si="97"/>
        <v>1</v>
      </c>
      <c r="W199" s="48">
        <f t="shared" si="98"/>
        <v>0</v>
      </c>
      <c r="X199" s="48">
        <f t="shared" si="99"/>
        <v>0</v>
      </c>
      <c r="Y199" s="61">
        <v>-1</v>
      </c>
      <c r="Z199" s="61" t="s">
        <v>0</v>
      </c>
      <c r="AA199" t="s">
        <v>19</v>
      </c>
    </row>
    <row r="200" spans="3:29" x14ac:dyDescent="0.25">
      <c r="C200" s="61">
        <f t="shared" si="100"/>
        <v>2014</v>
      </c>
      <c r="D200" s="6">
        <f t="shared" si="101"/>
        <v>2014</v>
      </c>
      <c r="E200" t="s">
        <v>147</v>
      </c>
      <c r="F200" s="67" t="s">
        <v>154</v>
      </c>
      <c r="G200" s="10">
        <v>7.7</v>
      </c>
      <c r="H200" s="66" t="s">
        <v>189</v>
      </c>
      <c r="I200" s="66" t="s">
        <v>189</v>
      </c>
      <c r="J200" s="66" t="s">
        <v>188</v>
      </c>
      <c r="K200" s="94">
        <v>1</v>
      </c>
      <c r="L200" s="1">
        <v>-1</v>
      </c>
      <c r="M200" s="48">
        <v>0</v>
      </c>
      <c r="N200" s="1">
        <v>1</v>
      </c>
      <c r="O200" s="1">
        <v>0</v>
      </c>
      <c r="P200" s="1">
        <v>0</v>
      </c>
      <c r="Q200" s="80">
        <v>-1</v>
      </c>
      <c r="R200" s="92">
        <v>0</v>
      </c>
      <c r="S200" s="97" t="s">
        <v>143</v>
      </c>
      <c r="T200" s="54" t="s">
        <v>143</v>
      </c>
      <c r="U200" s="70">
        <f t="shared" si="96"/>
        <v>0</v>
      </c>
      <c r="V200" s="48">
        <f t="shared" si="97"/>
        <v>1</v>
      </c>
      <c r="W200" s="48">
        <f t="shared" si="98"/>
        <v>0</v>
      </c>
      <c r="X200" s="48">
        <f t="shared" si="99"/>
        <v>0</v>
      </c>
      <c r="Y200" s="61">
        <v>-1</v>
      </c>
      <c r="Z200" s="61" t="s">
        <v>0</v>
      </c>
      <c r="AA200" t="s">
        <v>20</v>
      </c>
    </row>
    <row r="201" spans="3:29" x14ac:dyDescent="0.25">
      <c r="C201" s="61">
        <f t="shared" si="100"/>
        <v>2014</v>
      </c>
      <c r="D201" s="6">
        <f t="shared" si="101"/>
        <v>2014</v>
      </c>
      <c r="E201" t="s">
        <v>148</v>
      </c>
      <c r="F201" s="67" t="s">
        <v>154</v>
      </c>
      <c r="G201" s="66" t="s">
        <v>155</v>
      </c>
      <c r="H201" s="66" t="s">
        <v>189</v>
      </c>
      <c r="I201" s="66" t="s">
        <v>189</v>
      </c>
      <c r="J201" s="66" t="s">
        <v>188</v>
      </c>
      <c r="K201" s="94">
        <v>1</v>
      </c>
      <c r="L201" s="1">
        <v>-1</v>
      </c>
      <c r="M201" s="48">
        <v>0</v>
      </c>
      <c r="N201" s="1">
        <v>0</v>
      </c>
      <c r="O201" s="1">
        <v>1</v>
      </c>
      <c r="P201" s="1">
        <v>0</v>
      </c>
      <c r="Q201" s="80">
        <v>-1</v>
      </c>
      <c r="R201" s="92">
        <v>0</v>
      </c>
      <c r="S201" s="43" t="s">
        <v>141</v>
      </c>
      <c r="T201" s="123" t="s">
        <v>141</v>
      </c>
      <c r="U201" s="70">
        <f t="shared" si="96"/>
        <v>0</v>
      </c>
      <c r="V201" s="48">
        <f t="shared" si="97"/>
        <v>0</v>
      </c>
      <c r="W201" s="48">
        <f t="shared" si="98"/>
        <v>0</v>
      </c>
      <c r="X201" s="48">
        <f t="shared" si="99"/>
        <v>0</v>
      </c>
      <c r="Y201" s="61">
        <v>-1</v>
      </c>
      <c r="Z201" s="61" t="s">
        <v>0</v>
      </c>
      <c r="AA201" t="s">
        <v>21</v>
      </c>
    </row>
    <row r="202" spans="3:29" x14ac:dyDescent="0.25">
      <c r="C202" s="61">
        <f t="shared" si="100"/>
        <v>2014</v>
      </c>
      <c r="D202" s="6">
        <f t="shared" si="101"/>
        <v>2014</v>
      </c>
      <c r="E202" t="s">
        <v>510</v>
      </c>
      <c r="F202" s="67" t="s">
        <v>154</v>
      </c>
      <c r="G202" s="66" t="s">
        <v>155</v>
      </c>
      <c r="H202" s="66" t="s">
        <v>189</v>
      </c>
      <c r="I202" s="66" t="s">
        <v>189</v>
      </c>
      <c r="J202" s="66" t="s">
        <v>188</v>
      </c>
      <c r="K202" s="94">
        <v>1</v>
      </c>
      <c r="L202" s="1">
        <v>-1</v>
      </c>
      <c r="M202" s="48">
        <v>0</v>
      </c>
      <c r="N202" s="1">
        <v>1</v>
      </c>
      <c r="O202" s="1">
        <v>0</v>
      </c>
      <c r="P202" s="1">
        <v>0</v>
      </c>
      <c r="Q202" s="80">
        <v>-1</v>
      </c>
      <c r="R202" s="92">
        <v>0</v>
      </c>
      <c r="S202" s="97" t="s">
        <v>143</v>
      </c>
      <c r="T202" s="54" t="s">
        <v>143</v>
      </c>
      <c r="U202" s="70">
        <f t="shared" si="96"/>
        <v>0</v>
      </c>
      <c r="V202" s="48">
        <f t="shared" si="97"/>
        <v>0</v>
      </c>
      <c r="W202" s="48">
        <f t="shared" si="98"/>
        <v>0</v>
      </c>
      <c r="X202" s="48">
        <f t="shared" si="99"/>
        <v>0</v>
      </c>
      <c r="Y202" s="61">
        <v>-1</v>
      </c>
      <c r="Z202" s="61" t="s">
        <v>0</v>
      </c>
      <c r="AA202" t="s">
        <v>21</v>
      </c>
    </row>
    <row r="203" spans="3:29" x14ac:dyDescent="0.25">
      <c r="C203" s="61">
        <f t="shared" si="100"/>
        <v>2014</v>
      </c>
      <c r="D203" s="6">
        <f t="shared" si="101"/>
        <v>2014</v>
      </c>
      <c r="E203" t="s">
        <v>367</v>
      </c>
      <c r="F203" s="67" t="s">
        <v>154</v>
      </c>
      <c r="G203" s="66" t="s">
        <v>155</v>
      </c>
      <c r="H203" s="66" t="s">
        <v>189</v>
      </c>
      <c r="I203" s="66" t="s">
        <v>189</v>
      </c>
      <c r="J203" s="66" t="s">
        <v>188</v>
      </c>
      <c r="K203" s="16">
        <v>1</v>
      </c>
      <c r="L203" s="1">
        <v>-1</v>
      </c>
      <c r="M203" s="48">
        <v>1</v>
      </c>
      <c r="N203" s="1">
        <v>1</v>
      </c>
      <c r="O203" s="1">
        <v>0</v>
      </c>
      <c r="P203" s="1">
        <v>1</v>
      </c>
      <c r="Q203" s="80">
        <v>68</v>
      </c>
      <c r="R203" s="92">
        <v>0</v>
      </c>
      <c r="S203" s="97" t="s">
        <v>143</v>
      </c>
      <c r="T203" s="54" t="s">
        <v>143</v>
      </c>
      <c r="U203" s="70">
        <f t="shared" si="96"/>
        <v>0</v>
      </c>
      <c r="V203" s="48">
        <f t="shared" si="97"/>
        <v>0</v>
      </c>
      <c r="W203" s="48">
        <f t="shared" si="98"/>
        <v>0</v>
      </c>
      <c r="X203" s="48">
        <f t="shared" si="99"/>
        <v>0</v>
      </c>
      <c r="Y203" s="61">
        <v>-1</v>
      </c>
      <c r="Z203" s="61" t="s">
        <v>0</v>
      </c>
      <c r="AA203" t="s">
        <v>368</v>
      </c>
    </row>
    <row r="204" spans="3:29" x14ac:dyDescent="0.25">
      <c r="C204" s="61">
        <f t="shared" ref="C204" si="102">C203</f>
        <v>2014</v>
      </c>
      <c r="D204" s="6">
        <f t="shared" si="101"/>
        <v>2014</v>
      </c>
      <c r="E204" t="s">
        <v>801</v>
      </c>
      <c r="F204" s="67" t="s">
        <v>154</v>
      </c>
      <c r="G204" s="66" t="s">
        <v>155</v>
      </c>
      <c r="H204" s="66" t="s">
        <v>189</v>
      </c>
      <c r="I204" s="66" t="s">
        <v>189</v>
      </c>
      <c r="J204" s="66" t="s">
        <v>188</v>
      </c>
      <c r="K204" s="70">
        <v>1</v>
      </c>
      <c r="L204" s="48">
        <v>1</v>
      </c>
      <c r="M204" s="48">
        <v>1</v>
      </c>
      <c r="N204" s="48">
        <v>1</v>
      </c>
      <c r="O204" s="48">
        <v>0</v>
      </c>
      <c r="P204" s="48">
        <v>1</v>
      </c>
      <c r="Q204" s="181">
        <v>68</v>
      </c>
      <c r="R204" s="181">
        <v>0</v>
      </c>
      <c r="S204" s="97" t="s">
        <v>143</v>
      </c>
      <c r="T204" s="54" t="s">
        <v>143</v>
      </c>
      <c r="U204" s="70">
        <v>0</v>
      </c>
      <c r="V204" s="48">
        <v>1</v>
      </c>
      <c r="W204" s="48">
        <v>1</v>
      </c>
      <c r="X204" s="48">
        <v>0</v>
      </c>
      <c r="Y204" s="48">
        <v>1</v>
      </c>
      <c r="Z204" s="61" t="s">
        <v>0</v>
      </c>
      <c r="AA204" s="54" t="s">
        <v>802</v>
      </c>
      <c r="AC204" t="s">
        <v>803</v>
      </c>
    </row>
    <row r="205" spans="3:29" x14ac:dyDescent="0.25">
      <c r="C205" s="61">
        <f t="shared" ref="C205" si="103">C204</f>
        <v>2014</v>
      </c>
      <c r="D205" s="6">
        <f t="shared" si="101"/>
        <v>2014</v>
      </c>
      <c r="E205" t="s">
        <v>366</v>
      </c>
      <c r="F205" s="67" t="s">
        <v>154</v>
      </c>
      <c r="G205" s="10">
        <v>7.7</v>
      </c>
      <c r="H205" s="66" t="s">
        <v>189</v>
      </c>
      <c r="I205" s="66" t="s">
        <v>189</v>
      </c>
      <c r="J205" s="66" t="s">
        <v>188</v>
      </c>
      <c r="K205" s="16">
        <v>1</v>
      </c>
      <c r="L205" s="1">
        <v>-1</v>
      </c>
      <c r="M205" s="48">
        <v>1</v>
      </c>
      <c r="N205" s="1">
        <v>1</v>
      </c>
      <c r="O205" s="1">
        <v>0</v>
      </c>
      <c r="P205" s="1">
        <v>1</v>
      </c>
      <c r="Q205" s="80">
        <v>68</v>
      </c>
      <c r="R205" s="120">
        <v>1</v>
      </c>
      <c r="S205" s="97" t="s">
        <v>143</v>
      </c>
      <c r="T205" s="54" t="s">
        <v>143</v>
      </c>
      <c r="U205" s="70">
        <f t="shared" si="96"/>
        <v>0</v>
      </c>
      <c r="V205" s="48">
        <f t="shared" si="97"/>
        <v>1</v>
      </c>
      <c r="W205" s="48">
        <f t="shared" si="98"/>
        <v>0</v>
      </c>
      <c r="X205" s="48">
        <f t="shared" si="99"/>
        <v>0</v>
      </c>
      <c r="Y205" s="61">
        <v>-1</v>
      </c>
      <c r="Z205" s="61" t="s">
        <v>0</v>
      </c>
      <c r="AA205" t="s">
        <v>369</v>
      </c>
    </row>
    <row r="206" spans="3:29" x14ac:dyDescent="0.25">
      <c r="C206" s="61">
        <f t="shared" si="100"/>
        <v>2014</v>
      </c>
      <c r="D206" s="6">
        <f t="shared" si="101"/>
        <v>2014</v>
      </c>
      <c r="E206" t="s">
        <v>549</v>
      </c>
      <c r="F206" s="67" t="s">
        <v>154</v>
      </c>
      <c r="G206" s="10">
        <v>7.7</v>
      </c>
      <c r="H206" s="66" t="s">
        <v>189</v>
      </c>
      <c r="I206" s="66" t="s">
        <v>189</v>
      </c>
      <c r="J206" s="66" t="s">
        <v>188</v>
      </c>
      <c r="K206" s="16">
        <v>1</v>
      </c>
      <c r="L206" s="1">
        <v>-1</v>
      </c>
      <c r="M206" s="48">
        <v>1</v>
      </c>
      <c r="N206" s="1">
        <v>1</v>
      </c>
      <c r="O206" s="1">
        <v>0</v>
      </c>
      <c r="P206" s="1">
        <v>0</v>
      </c>
      <c r="Q206" s="80">
        <v>68</v>
      </c>
      <c r="R206" s="92">
        <v>0</v>
      </c>
      <c r="S206" s="97" t="s">
        <v>143</v>
      </c>
      <c r="T206" s="54" t="s">
        <v>143</v>
      </c>
      <c r="U206" s="70">
        <f t="shared" si="96"/>
        <v>0</v>
      </c>
      <c r="V206" s="48">
        <f t="shared" si="97"/>
        <v>1</v>
      </c>
      <c r="W206" s="48">
        <f t="shared" si="98"/>
        <v>0</v>
      </c>
      <c r="X206" s="48">
        <f t="shared" si="99"/>
        <v>0</v>
      </c>
      <c r="Y206" s="61">
        <v>-1</v>
      </c>
      <c r="Z206" s="61" t="s">
        <v>0</v>
      </c>
      <c r="AA206" t="s">
        <v>550</v>
      </c>
      <c r="AC206" t="s">
        <v>551</v>
      </c>
    </row>
    <row r="207" spans="3:29" x14ac:dyDescent="0.25">
      <c r="C207" s="61">
        <f t="shared" si="100"/>
        <v>2014</v>
      </c>
      <c r="D207" s="6">
        <f t="shared" si="101"/>
        <v>2014</v>
      </c>
      <c r="E207" t="s">
        <v>728</v>
      </c>
      <c r="F207" s="67" t="s">
        <v>154</v>
      </c>
      <c r="G207" s="10">
        <v>7.7</v>
      </c>
      <c r="H207" s="66" t="s">
        <v>189</v>
      </c>
      <c r="I207" s="66" t="s">
        <v>189</v>
      </c>
      <c r="J207" s="66" t="s">
        <v>188</v>
      </c>
      <c r="K207" s="16">
        <v>1</v>
      </c>
      <c r="L207" s="1">
        <v>-1</v>
      </c>
      <c r="M207" s="48">
        <v>1</v>
      </c>
      <c r="N207" s="1">
        <v>1</v>
      </c>
      <c r="O207" s="1">
        <v>0</v>
      </c>
      <c r="P207" s="1">
        <v>0</v>
      </c>
      <c r="Q207" s="80">
        <v>68</v>
      </c>
      <c r="R207" s="92">
        <v>0</v>
      </c>
      <c r="S207" s="97" t="s">
        <v>143</v>
      </c>
      <c r="T207" s="54" t="s">
        <v>143</v>
      </c>
      <c r="U207" s="70">
        <f t="shared" ref="U207" si="104">IF(AND(ISNUMBER(F207), F207&gt;0), 1, 0)</f>
        <v>0</v>
      </c>
      <c r="V207" s="48">
        <f t="shared" ref="V207" si="105">IF(AND(ISNUMBER(G207), G207&gt;0), 1, 0)</f>
        <v>1</v>
      </c>
      <c r="W207" s="48">
        <f t="shared" si="98"/>
        <v>0</v>
      </c>
      <c r="X207" s="48">
        <f t="shared" ref="X207" si="106">IF(AND(ISNUMBER(J207), J207&gt;0), 1, 0)</f>
        <v>0</v>
      </c>
      <c r="Y207" s="61">
        <v>-1</v>
      </c>
      <c r="Z207" s="61" t="s">
        <v>0</v>
      </c>
      <c r="AA207" t="s">
        <v>729</v>
      </c>
      <c r="AC207" t="s">
        <v>551</v>
      </c>
    </row>
    <row r="208" spans="3:29" x14ac:dyDescent="0.25">
      <c r="C208" s="61">
        <f t="shared" si="100"/>
        <v>2014</v>
      </c>
      <c r="D208" s="6">
        <f t="shared" si="101"/>
        <v>2014</v>
      </c>
      <c r="E208" t="s">
        <v>1065</v>
      </c>
      <c r="F208" s="67" t="s">
        <v>154</v>
      </c>
      <c r="G208" s="10">
        <v>7.7</v>
      </c>
      <c r="H208" s="66" t="s">
        <v>189</v>
      </c>
      <c r="I208" s="66" t="s">
        <v>189</v>
      </c>
      <c r="J208" s="66" t="s">
        <v>188</v>
      </c>
      <c r="K208" s="16">
        <v>1</v>
      </c>
      <c r="L208" s="1">
        <v>-1</v>
      </c>
      <c r="M208" s="48">
        <v>1</v>
      </c>
      <c r="N208" s="1">
        <v>1</v>
      </c>
      <c r="O208" s="1">
        <v>0</v>
      </c>
      <c r="P208" s="1">
        <v>0</v>
      </c>
      <c r="Q208" s="80">
        <v>68</v>
      </c>
      <c r="R208" s="92">
        <v>0</v>
      </c>
      <c r="S208" s="97" t="s">
        <v>143</v>
      </c>
      <c r="T208" s="54" t="s">
        <v>143</v>
      </c>
      <c r="U208" s="70">
        <f t="shared" ref="U208" si="107">IF(AND(ISNUMBER(F208), F208&gt;0), 1, 0)</f>
        <v>0</v>
      </c>
      <c r="V208" s="48">
        <f t="shared" ref="V208" si="108">IF(AND(ISNUMBER(G208), G208&gt;0), 1, 0)</f>
        <v>1</v>
      </c>
      <c r="W208" s="48">
        <f t="shared" ref="W208" si="109">IF(AND(ISNUMBER(H208), H208&gt;0), 1, 0)</f>
        <v>0</v>
      </c>
      <c r="X208" s="48">
        <f t="shared" ref="X208" si="110">IF(AND(ISNUMBER(J208), J208&gt;0), 1, 0)</f>
        <v>0</v>
      </c>
      <c r="Y208" s="61">
        <v>-1</v>
      </c>
      <c r="Z208" s="61" t="s">
        <v>0</v>
      </c>
      <c r="AA208" t="s">
        <v>1063</v>
      </c>
      <c r="AC208" t="s">
        <v>551</v>
      </c>
    </row>
    <row r="209" spans="1:29" x14ac:dyDescent="0.25">
      <c r="A209" t="s">
        <v>438</v>
      </c>
      <c r="D209" s="126"/>
      <c r="E209" s="126"/>
      <c r="F209" s="126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6"/>
    </row>
    <row r="210" spans="1:29" x14ac:dyDescent="0.25">
      <c r="C210" s="60">
        <v>2016</v>
      </c>
      <c r="D210" s="60">
        <v>2017</v>
      </c>
      <c r="E210" t="s">
        <v>141</v>
      </c>
      <c r="F210" s="50">
        <v>80</v>
      </c>
      <c r="G210" s="66" t="s">
        <v>155</v>
      </c>
      <c r="H210" s="66" t="s">
        <v>189</v>
      </c>
      <c r="I210" s="66" t="s">
        <v>189</v>
      </c>
      <c r="J210" s="66" t="s">
        <v>188</v>
      </c>
      <c r="K210" s="128">
        <f>K106</f>
        <v>1</v>
      </c>
      <c r="L210" s="129">
        <f t="shared" ref="L210:T210" si="111">L106</f>
        <v>1</v>
      </c>
      <c r="M210" s="129">
        <f t="shared" si="111"/>
        <v>0</v>
      </c>
      <c r="N210" s="129">
        <f t="shared" si="111"/>
        <v>0</v>
      </c>
      <c r="O210" s="129">
        <f t="shared" si="111"/>
        <v>1</v>
      </c>
      <c r="P210" s="130">
        <f t="shared" si="111"/>
        <v>0</v>
      </c>
      <c r="Q210" s="72">
        <f t="shared" si="111"/>
        <v>-1</v>
      </c>
      <c r="R210" s="72">
        <f t="shared" si="111"/>
        <v>0</v>
      </c>
      <c r="S210" s="75" t="str">
        <f t="shared" si="111"/>
        <v xml:space="preserve">CntrlFurnace   </v>
      </c>
      <c r="T210" s="62" t="str">
        <f t="shared" si="111"/>
        <v>N/A</v>
      </c>
      <c r="U210" s="92">
        <f t="shared" ref="U210:U229" si="112">IF(AND(ISNUMBER(F210), F210&gt;0), 1, 0)</f>
        <v>1</v>
      </c>
      <c r="V210" s="6">
        <f t="shared" ref="V210:V230" si="113">IF(AND(ISNUMBER(G210), G210&gt;0), 1, 0)</f>
        <v>0</v>
      </c>
      <c r="W210" s="6">
        <f t="shared" ref="W210:W231" si="114">IF(AND(ISNUMBER(H210), H210&gt;0), 1, 0)</f>
        <v>0</v>
      </c>
      <c r="X210" s="6">
        <f t="shared" ref="X210:X229" si="115">IF(AND(ISNUMBER(J210), J210&gt;0), 1, 0)</f>
        <v>0</v>
      </c>
      <c r="Y210" s="61">
        <v>-1</v>
      </c>
      <c r="Z210" s="61" t="s">
        <v>0</v>
      </c>
      <c r="AA210" s="62" t="str">
        <f t="shared" ref="AA210:AA232" si="116">AA155</f>
        <v xml:space="preserve">CntrlFurnace - Fuel-fired central furnace                         </v>
      </c>
    </row>
    <row r="211" spans="1:29" x14ac:dyDescent="0.25">
      <c r="C211" s="61">
        <f>C210</f>
        <v>2016</v>
      </c>
      <c r="D211" s="6">
        <f>D210</f>
        <v>2017</v>
      </c>
      <c r="E211" t="s">
        <v>385</v>
      </c>
      <c r="F211" s="63">
        <v>73</v>
      </c>
      <c r="G211" s="66" t="s">
        <v>155</v>
      </c>
      <c r="H211" s="66" t="s">
        <v>189</v>
      </c>
      <c r="I211" s="66" t="s">
        <v>189</v>
      </c>
      <c r="J211" s="66" t="s">
        <v>188</v>
      </c>
      <c r="K211" s="72">
        <f t="shared" ref="K211:T211" si="117">K107</f>
        <v>1</v>
      </c>
      <c r="L211" s="61">
        <f t="shared" si="117"/>
        <v>0</v>
      </c>
      <c r="M211" s="61">
        <f t="shared" si="117"/>
        <v>0</v>
      </c>
      <c r="N211" s="61">
        <f t="shared" si="117"/>
        <v>0</v>
      </c>
      <c r="O211" s="61">
        <f t="shared" si="117"/>
        <v>1</v>
      </c>
      <c r="P211" s="105">
        <f t="shared" si="117"/>
        <v>0</v>
      </c>
      <c r="Q211" s="72">
        <f t="shared" si="117"/>
        <v>-1</v>
      </c>
      <c r="R211" s="72">
        <f t="shared" si="117"/>
        <v>0</v>
      </c>
      <c r="S211" s="75" t="str">
        <f t="shared" si="117"/>
        <v>N/A</v>
      </c>
      <c r="T211" s="62" t="str">
        <f t="shared" si="117"/>
        <v xml:space="preserve">CntrlFurnace   </v>
      </c>
      <c r="U211" s="92">
        <f t="shared" si="112"/>
        <v>1</v>
      </c>
      <c r="V211" s="6">
        <f t="shared" si="113"/>
        <v>0</v>
      </c>
      <c r="W211" s="6">
        <f t="shared" si="114"/>
        <v>0</v>
      </c>
      <c r="X211" s="6">
        <f t="shared" si="115"/>
        <v>0</v>
      </c>
      <c r="Y211" s="61">
        <v>-1</v>
      </c>
      <c r="Z211" s="61" t="s">
        <v>0</v>
      </c>
      <c r="AA211" s="62" t="str">
        <f t="shared" si="116"/>
        <v>WallFurnaceFan - Ductless fan forced wall furnace</v>
      </c>
    </row>
    <row r="212" spans="1:29" x14ac:dyDescent="0.25">
      <c r="C212" s="61">
        <f t="shared" ref="C212:C232" si="118">C211</f>
        <v>2016</v>
      </c>
      <c r="D212" s="6">
        <f t="shared" ref="D212:D232" si="119">D211</f>
        <v>2017</v>
      </c>
      <c r="E212" t="s">
        <v>386</v>
      </c>
      <c r="F212" s="63">
        <v>59</v>
      </c>
      <c r="G212" s="66" t="s">
        <v>155</v>
      </c>
      <c r="H212" s="66" t="s">
        <v>189</v>
      </c>
      <c r="I212" s="66" t="s">
        <v>189</v>
      </c>
      <c r="J212" s="66" t="s">
        <v>188</v>
      </c>
      <c r="K212" s="72">
        <f t="shared" ref="K212:T212" si="120">K108</f>
        <v>1</v>
      </c>
      <c r="L212" s="61">
        <f t="shared" si="120"/>
        <v>0</v>
      </c>
      <c r="M212" s="61">
        <f t="shared" si="120"/>
        <v>0</v>
      </c>
      <c r="N212" s="61">
        <f t="shared" si="120"/>
        <v>0</v>
      </c>
      <c r="O212" s="61">
        <f t="shared" si="120"/>
        <v>1</v>
      </c>
      <c r="P212" s="105">
        <f t="shared" si="120"/>
        <v>0</v>
      </c>
      <c r="Q212" s="72">
        <f t="shared" si="120"/>
        <v>-1</v>
      </c>
      <c r="R212" s="72">
        <f t="shared" si="120"/>
        <v>0</v>
      </c>
      <c r="S212" s="75" t="str">
        <f t="shared" si="120"/>
        <v>N/A</v>
      </c>
      <c r="T212" s="62" t="str">
        <f t="shared" si="120"/>
        <v xml:space="preserve">CntrlFurnace   </v>
      </c>
      <c r="U212" s="92">
        <f t="shared" si="112"/>
        <v>1</v>
      </c>
      <c r="V212" s="6">
        <f t="shared" si="113"/>
        <v>0</v>
      </c>
      <c r="W212" s="6">
        <f t="shared" si="114"/>
        <v>0</v>
      </c>
      <c r="X212" s="6">
        <f t="shared" si="115"/>
        <v>0</v>
      </c>
      <c r="Y212" s="61">
        <v>-1</v>
      </c>
      <c r="Z212" s="61" t="s">
        <v>0</v>
      </c>
      <c r="AA212" s="62" t="str">
        <f t="shared" si="116"/>
        <v>WallFurnaceGravity - Ductless gravity flowed wall furnace</v>
      </c>
    </row>
    <row r="213" spans="1:29" x14ac:dyDescent="0.25">
      <c r="C213" s="61">
        <f t="shared" si="118"/>
        <v>2016</v>
      </c>
      <c r="D213" s="6">
        <f t="shared" si="119"/>
        <v>2017</v>
      </c>
      <c r="E213" t="s">
        <v>383</v>
      </c>
      <c r="F213" s="63">
        <v>56</v>
      </c>
      <c r="G213" s="66" t="s">
        <v>155</v>
      </c>
      <c r="H213" s="66" t="s">
        <v>189</v>
      </c>
      <c r="I213" s="66" t="s">
        <v>189</v>
      </c>
      <c r="J213" s="66" t="s">
        <v>188</v>
      </c>
      <c r="K213" s="72">
        <f t="shared" ref="K213:T213" si="121">K109</f>
        <v>1</v>
      </c>
      <c r="L213" s="61">
        <f t="shared" si="121"/>
        <v>0</v>
      </c>
      <c r="M213" s="61">
        <f t="shared" si="121"/>
        <v>0</v>
      </c>
      <c r="N213" s="61">
        <f t="shared" si="121"/>
        <v>0</v>
      </c>
      <c r="O213" s="61">
        <f t="shared" si="121"/>
        <v>1</v>
      </c>
      <c r="P213" s="105">
        <f t="shared" si="121"/>
        <v>0</v>
      </c>
      <c r="Q213" s="72">
        <f t="shared" si="121"/>
        <v>-1</v>
      </c>
      <c r="R213" s="72">
        <f t="shared" si="121"/>
        <v>0</v>
      </c>
      <c r="S213" s="75" t="str">
        <f t="shared" si="121"/>
        <v>N/A</v>
      </c>
      <c r="T213" s="62" t="str">
        <f t="shared" si="121"/>
        <v xml:space="preserve">CntrlFurnace   </v>
      </c>
      <c r="U213" s="92">
        <f t="shared" si="112"/>
        <v>1</v>
      </c>
      <c r="V213" s="6">
        <f t="shared" si="113"/>
        <v>0</v>
      </c>
      <c r="W213" s="6">
        <f t="shared" si="114"/>
        <v>0</v>
      </c>
      <c r="X213" s="6">
        <f t="shared" si="115"/>
        <v>0</v>
      </c>
      <c r="Y213" s="61">
        <v>-1</v>
      </c>
      <c r="Z213" s="61" t="s">
        <v>0</v>
      </c>
      <c r="AA213" s="62" t="str">
        <f t="shared" si="116"/>
        <v>FloorFurnace - Ductless floor heating system</v>
      </c>
    </row>
    <row r="214" spans="1:29" x14ac:dyDescent="0.25">
      <c r="C214" s="61">
        <f t="shared" si="118"/>
        <v>2016</v>
      </c>
      <c r="D214" s="6">
        <f t="shared" si="119"/>
        <v>2017</v>
      </c>
      <c r="E214" t="s">
        <v>384</v>
      </c>
      <c r="F214" s="63">
        <v>57</v>
      </c>
      <c r="G214" s="66" t="s">
        <v>155</v>
      </c>
      <c r="H214" s="66" t="s">
        <v>189</v>
      </c>
      <c r="I214" s="66" t="s">
        <v>189</v>
      </c>
      <c r="J214" s="66" t="s">
        <v>188</v>
      </c>
      <c r="K214" s="72">
        <f t="shared" ref="K214:T214" si="122">K110</f>
        <v>1</v>
      </c>
      <c r="L214" s="61">
        <f t="shared" si="122"/>
        <v>0</v>
      </c>
      <c r="M214" s="61">
        <f t="shared" si="122"/>
        <v>0</v>
      </c>
      <c r="N214" s="61">
        <f t="shared" si="122"/>
        <v>0</v>
      </c>
      <c r="O214" s="61">
        <f t="shared" si="122"/>
        <v>1</v>
      </c>
      <c r="P214" s="105">
        <f t="shared" si="122"/>
        <v>0</v>
      </c>
      <c r="Q214" s="72">
        <f t="shared" si="122"/>
        <v>-1</v>
      </c>
      <c r="R214" s="72">
        <f t="shared" si="122"/>
        <v>0</v>
      </c>
      <c r="S214" s="75" t="str">
        <f t="shared" si="122"/>
        <v>N/A</v>
      </c>
      <c r="T214" s="62" t="str">
        <f t="shared" si="122"/>
        <v xml:space="preserve">CntrlFurnace   </v>
      </c>
      <c r="U214" s="92">
        <f t="shared" si="112"/>
        <v>1</v>
      </c>
      <c r="V214" s="6">
        <f t="shared" si="113"/>
        <v>0</v>
      </c>
      <c r="W214" s="6">
        <f t="shared" si="114"/>
        <v>0</v>
      </c>
      <c r="X214" s="6">
        <f t="shared" si="115"/>
        <v>0</v>
      </c>
      <c r="Y214" s="61">
        <v>-1</v>
      </c>
      <c r="Z214" s="61" t="s">
        <v>0</v>
      </c>
      <c r="AA214" s="62" t="str">
        <f t="shared" si="116"/>
        <v xml:space="preserve">Heater - Non-central fuel-fired space heater                      </v>
      </c>
    </row>
    <row r="215" spans="1:29" x14ac:dyDescent="0.25">
      <c r="C215" s="61">
        <f t="shared" si="118"/>
        <v>2016</v>
      </c>
      <c r="D215" s="6">
        <f t="shared" si="119"/>
        <v>2017</v>
      </c>
      <c r="E215" t="s">
        <v>142</v>
      </c>
      <c r="F215" s="51">
        <v>80</v>
      </c>
      <c r="G215" s="66" t="s">
        <v>155</v>
      </c>
      <c r="H215" s="66" t="s">
        <v>189</v>
      </c>
      <c r="I215" s="66" t="s">
        <v>189</v>
      </c>
      <c r="J215" s="66" t="s">
        <v>188</v>
      </c>
      <c r="K215" s="72">
        <f t="shared" ref="K215:T215" si="123">K111</f>
        <v>1</v>
      </c>
      <c r="L215" s="61">
        <f t="shared" si="123"/>
        <v>-1</v>
      </c>
      <c r="M215" s="61">
        <f t="shared" si="123"/>
        <v>0</v>
      </c>
      <c r="N215" s="61">
        <f t="shared" si="123"/>
        <v>0</v>
      </c>
      <c r="O215" s="61">
        <f t="shared" si="123"/>
        <v>1</v>
      </c>
      <c r="P215" s="105">
        <f t="shared" si="123"/>
        <v>0</v>
      </c>
      <c r="Q215" s="72">
        <f t="shared" si="123"/>
        <v>-1</v>
      </c>
      <c r="R215" s="72">
        <f t="shared" si="123"/>
        <v>0</v>
      </c>
      <c r="S215" s="75" t="str">
        <f t="shared" si="123"/>
        <v xml:space="preserve">CntrlFurnace   </v>
      </c>
      <c r="T215" s="62" t="str">
        <f t="shared" si="123"/>
        <v xml:space="preserve">CntrlFurnace   </v>
      </c>
      <c r="U215" s="92">
        <f t="shared" si="112"/>
        <v>1</v>
      </c>
      <c r="V215" s="6">
        <f t="shared" si="113"/>
        <v>0</v>
      </c>
      <c r="W215" s="6">
        <f t="shared" si="114"/>
        <v>0</v>
      </c>
      <c r="X215" s="6">
        <f t="shared" si="115"/>
        <v>0</v>
      </c>
      <c r="Y215" s="61">
        <v>-1</v>
      </c>
      <c r="Z215" s="61" t="s">
        <v>0</v>
      </c>
      <c r="AA215" s="62" t="str">
        <f t="shared" si="116"/>
        <v xml:space="preserve">Boiler - Gas or oil boiler                                        </v>
      </c>
    </row>
    <row r="216" spans="1:29" x14ac:dyDescent="0.25">
      <c r="C216" s="61">
        <f t="shared" ref="C216:C225" si="124">C215</f>
        <v>2016</v>
      </c>
      <c r="D216" s="6">
        <f t="shared" si="119"/>
        <v>2017</v>
      </c>
      <c r="E216" t="s">
        <v>521</v>
      </c>
      <c r="F216" s="67" t="s">
        <v>154</v>
      </c>
      <c r="G216" s="66" t="s">
        <v>155</v>
      </c>
      <c r="H216" s="66" t="s">
        <v>189</v>
      </c>
      <c r="I216" s="66" t="s">
        <v>189</v>
      </c>
      <c r="J216" s="66" t="s">
        <v>188</v>
      </c>
      <c r="K216" s="72">
        <f t="shared" ref="K216:T216" si="125">K112</f>
        <v>1</v>
      </c>
      <c r="L216" s="61">
        <f t="shared" si="125"/>
        <v>0</v>
      </c>
      <c r="M216" s="61">
        <f t="shared" si="125"/>
        <v>0</v>
      </c>
      <c r="N216" s="61">
        <f t="shared" si="125"/>
        <v>0</v>
      </c>
      <c r="O216" s="61">
        <f t="shared" si="125"/>
        <v>0</v>
      </c>
      <c r="P216" s="105">
        <f t="shared" si="125"/>
        <v>0</v>
      </c>
      <c r="Q216" s="72">
        <f t="shared" si="125"/>
        <v>-1</v>
      </c>
      <c r="R216" s="72">
        <f t="shared" si="125"/>
        <v>1</v>
      </c>
      <c r="S216" s="75" t="str">
        <f t="shared" si="125"/>
        <v xml:space="preserve">CntrlFurnace   </v>
      </c>
      <c r="T216" s="62" t="str">
        <f t="shared" si="125"/>
        <v xml:space="preserve">CntrlFurnace   </v>
      </c>
      <c r="U216" s="92">
        <f t="shared" si="112"/>
        <v>0</v>
      </c>
      <c r="V216" s="6">
        <f t="shared" si="113"/>
        <v>0</v>
      </c>
      <c r="W216" s="6">
        <f t="shared" si="114"/>
        <v>0</v>
      </c>
      <c r="X216" s="6">
        <f t="shared" si="115"/>
        <v>0</v>
      </c>
      <c r="Y216" s="61">
        <v>-1</v>
      </c>
      <c r="Z216" s="61" t="s">
        <v>0</v>
      </c>
      <c r="AA216" s="62" t="str">
        <f t="shared" si="116"/>
        <v>WoodHeat - Wood heat meeting exceptional method criteria</v>
      </c>
      <c r="AC216" t="s">
        <v>524</v>
      </c>
    </row>
    <row r="217" spans="1:29" x14ac:dyDescent="0.25">
      <c r="C217" s="61">
        <f t="shared" si="124"/>
        <v>2016</v>
      </c>
      <c r="D217" s="6">
        <f t="shared" si="119"/>
        <v>2017</v>
      </c>
      <c r="E217" t="s">
        <v>143</v>
      </c>
      <c r="F217" s="67" t="s">
        <v>154</v>
      </c>
      <c r="G217" s="10">
        <v>8.1999999999999993</v>
      </c>
      <c r="H217" s="66" t="s">
        <v>189</v>
      </c>
      <c r="I217" s="66" t="s">
        <v>189</v>
      </c>
      <c r="J217" s="66" t="s">
        <v>188</v>
      </c>
      <c r="K217" s="72">
        <f t="shared" ref="K217:T217" si="126">K113</f>
        <v>1</v>
      </c>
      <c r="L217" s="61">
        <f t="shared" si="126"/>
        <v>1</v>
      </c>
      <c r="M217" s="61">
        <f t="shared" si="126"/>
        <v>1</v>
      </c>
      <c r="N217" s="61">
        <f t="shared" si="126"/>
        <v>1</v>
      </c>
      <c r="O217" s="61">
        <f t="shared" si="126"/>
        <v>0</v>
      </c>
      <c r="P217" s="105">
        <f t="shared" si="126"/>
        <v>0</v>
      </c>
      <c r="Q217" s="72">
        <f t="shared" si="126"/>
        <v>68</v>
      </c>
      <c r="R217" s="72">
        <f t="shared" si="126"/>
        <v>0</v>
      </c>
      <c r="S217" s="75" t="str">
        <f t="shared" si="126"/>
        <v xml:space="preserve">SplitHeatPump  </v>
      </c>
      <c r="T217" s="62" t="str">
        <f t="shared" si="126"/>
        <v>N/A</v>
      </c>
      <c r="U217" s="92">
        <f t="shared" si="112"/>
        <v>0</v>
      </c>
      <c r="V217" s="6">
        <f t="shared" si="113"/>
        <v>1</v>
      </c>
      <c r="W217" s="6">
        <f t="shared" si="114"/>
        <v>0</v>
      </c>
      <c r="X217" s="6">
        <f t="shared" si="115"/>
        <v>0</v>
      </c>
      <c r="Y217" s="61">
        <v>-1</v>
      </c>
      <c r="Z217" s="61" t="s">
        <v>0</v>
      </c>
      <c r="AA217" s="62" t="str">
        <f t="shared" si="116"/>
        <v xml:space="preserve">SplitHeatPump - Heating side of central split heat pump           </v>
      </c>
    </row>
    <row r="218" spans="1:29" x14ac:dyDescent="0.25">
      <c r="C218" s="61">
        <f t="shared" si="124"/>
        <v>2016</v>
      </c>
      <c r="D218" s="6">
        <f t="shared" si="119"/>
        <v>2017</v>
      </c>
      <c r="E218" t="s">
        <v>511</v>
      </c>
      <c r="F218" s="67" t="s">
        <v>154</v>
      </c>
      <c r="G218" s="10">
        <v>7.2</v>
      </c>
      <c r="H218" s="66" t="s">
        <v>189</v>
      </c>
      <c r="I218" s="66" t="s">
        <v>189</v>
      </c>
      <c r="J218" s="66" t="s">
        <v>188</v>
      </c>
      <c r="K218" s="72">
        <f t="shared" ref="K218:T218" si="127">K114</f>
        <v>1</v>
      </c>
      <c r="L218" s="61">
        <f t="shared" si="127"/>
        <v>1</v>
      </c>
      <c r="M218" s="61">
        <f t="shared" si="127"/>
        <v>1</v>
      </c>
      <c r="N218" s="61">
        <f t="shared" si="127"/>
        <v>1</v>
      </c>
      <c r="O218" s="61">
        <f t="shared" si="127"/>
        <v>0</v>
      </c>
      <c r="P218" s="105">
        <f t="shared" si="127"/>
        <v>0</v>
      </c>
      <c r="Q218" s="72">
        <f t="shared" si="127"/>
        <v>68</v>
      </c>
      <c r="R218" s="72">
        <f t="shared" si="127"/>
        <v>0</v>
      </c>
      <c r="S218" s="75" t="str">
        <f t="shared" si="127"/>
        <v xml:space="preserve">SplitHeatPump  </v>
      </c>
      <c r="T218" s="62" t="str">
        <f t="shared" si="127"/>
        <v>N/A</v>
      </c>
      <c r="U218" s="92">
        <f t="shared" si="112"/>
        <v>0</v>
      </c>
      <c r="V218" s="6">
        <f t="shared" si="113"/>
        <v>1</v>
      </c>
      <c r="W218" s="6">
        <f t="shared" si="114"/>
        <v>0</v>
      </c>
      <c r="X218" s="6">
        <f t="shared" si="115"/>
        <v>0</v>
      </c>
      <c r="Y218" s="61">
        <v>-1</v>
      </c>
      <c r="Z218" s="61" t="s">
        <v>0</v>
      </c>
      <c r="AA218" s="62" t="str">
        <f t="shared" si="116"/>
        <v xml:space="preserve">SDHVSplitHeatPump - Small duct, high velocity, central split heat pump           </v>
      </c>
    </row>
    <row r="219" spans="1:29" x14ac:dyDescent="0.25">
      <c r="C219" s="61">
        <f t="shared" si="124"/>
        <v>2016</v>
      </c>
      <c r="D219" s="6">
        <f t="shared" si="119"/>
        <v>2017</v>
      </c>
      <c r="E219" t="s">
        <v>530</v>
      </c>
      <c r="F219" s="67" t="s">
        <v>154</v>
      </c>
      <c r="G219" s="10">
        <v>8.1999999999999993</v>
      </c>
      <c r="H219" s="66" t="s">
        <v>189</v>
      </c>
      <c r="I219" s="66" t="s">
        <v>189</v>
      </c>
      <c r="J219" s="66" t="s">
        <v>188</v>
      </c>
      <c r="K219" s="72">
        <f t="shared" ref="K219:T219" si="128">K115</f>
        <v>1</v>
      </c>
      <c r="L219" s="61">
        <f t="shared" si="128"/>
        <v>0</v>
      </c>
      <c r="M219" s="61">
        <f t="shared" si="128"/>
        <v>1</v>
      </c>
      <c r="N219" s="61">
        <f t="shared" si="128"/>
        <v>1</v>
      </c>
      <c r="O219" s="61">
        <f t="shared" si="128"/>
        <v>0</v>
      </c>
      <c r="P219" s="105">
        <f t="shared" si="128"/>
        <v>0</v>
      </c>
      <c r="Q219" s="72">
        <f t="shared" si="128"/>
        <v>68</v>
      </c>
      <c r="R219" s="72">
        <f t="shared" si="128"/>
        <v>1</v>
      </c>
      <c r="S219" s="75" t="str">
        <f t="shared" si="128"/>
        <v>N/A</v>
      </c>
      <c r="T219" s="62" t="str">
        <f t="shared" si="128"/>
        <v xml:space="preserve">SplitHeatPump  </v>
      </c>
      <c r="U219" s="92">
        <f t="shared" si="112"/>
        <v>0</v>
      </c>
      <c r="V219" s="6">
        <f t="shared" si="113"/>
        <v>1</v>
      </c>
      <c r="W219" s="6">
        <f t="shared" si="114"/>
        <v>0</v>
      </c>
      <c r="X219" s="6">
        <f t="shared" si="115"/>
        <v>0</v>
      </c>
      <c r="Y219" s="61">
        <v>-1</v>
      </c>
      <c r="Z219" s="61" t="s">
        <v>0</v>
      </c>
      <c r="AA219" s="62" t="str">
        <f t="shared" si="116"/>
        <v>DuctlessMiniSplitHeatPump – Ductless mini-split heat pump system</v>
      </c>
      <c r="AC219" t="s">
        <v>525</v>
      </c>
    </row>
    <row r="220" spans="1:29" x14ac:dyDescent="0.25">
      <c r="C220" s="61">
        <f t="shared" si="124"/>
        <v>2016</v>
      </c>
      <c r="D220" s="6">
        <f t="shared" si="119"/>
        <v>2017</v>
      </c>
      <c r="E220" t="s">
        <v>531</v>
      </c>
      <c r="F220" s="67" t="s">
        <v>154</v>
      </c>
      <c r="G220" s="10">
        <v>8.1999999999999993</v>
      </c>
      <c r="H220" s="66" t="s">
        <v>189</v>
      </c>
      <c r="I220" s="66" t="s">
        <v>189</v>
      </c>
      <c r="J220" s="66" t="s">
        <v>188</v>
      </c>
      <c r="K220" s="72">
        <f t="shared" ref="K220:T220" si="129">K116</f>
        <v>1</v>
      </c>
      <c r="L220" s="61">
        <f t="shared" si="129"/>
        <v>0</v>
      </c>
      <c r="M220" s="61">
        <f t="shared" si="129"/>
        <v>1</v>
      </c>
      <c r="N220" s="61">
        <f t="shared" si="129"/>
        <v>1</v>
      </c>
      <c r="O220" s="61">
        <f t="shared" si="129"/>
        <v>0</v>
      </c>
      <c r="P220" s="61">
        <f t="shared" si="129"/>
        <v>0</v>
      </c>
      <c r="Q220" s="96">
        <f t="shared" si="129"/>
        <v>68</v>
      </c>
      <c r="R220" s="72">
        <f t="shared" si="129"/>
        <v>1</v>
      </c>
      <c r="S220" s="75" t="str">
        <f t="shared" si="129"/>
        <v>N/A</v>
      </c>
      <c r="T220" s="62" t="str">
        <f t="shared" si="129"/>
        <v xml:space="preserve">SplitHeatPump  </v>
      </c>
      <c r="U220" s="72">
        <f t="shared" si="112"/>
        <v>0</v>
      </c>
      <c r="V220" s="61">
        <f t="shared" si="113"/>
        <v>1</v>
      </c>
      <c r="W220" s="61">
        <f t="shared" si="114"/>
        <v>0</v>
      </c>
      <c r="X220" s="61">
        <f t="shared" si="115"/>
        <v>0</v>
      </c>
      <c r="Y220" s="61">
        <v>-1</v>
      </c>
      <c r="Z220" s="61" t="s">
        <v>0</v>
      </c>
      <c r="AA220" s="62" t="str">
        <f t="shared" si="116"/>
        <v>DuctlessMultiSplitHeatPump - Ductless multi-split heat pump system</v>
      </c>
      <c r="AC220" t="s">
        <v>524</v>
      </c>
    </row>
    <row r="221" spans="1:29" x14ac:dyDescent="0.25">
      <c r="C221" s="61">
        <f t="shared" si="124"/>
        <v>2016</v>
      </c>
      <c r="D221" s="6">
        <f t="shared" si="119"/>
        <v>2017</v>
      </c>
      <c r="E221" t="s">
        <v>520</v>
      </c>
      <c r="F221" s="67" t="s">
        <v>154</v>
      </c>
      <c r="G221" s="10">
        <v>7.7</v>
      </c>
      <c r="H221" s="66" t="s">
        <v>189</v>
      </c>
      <c r="I221" s="66" t="s">
        <v>189</v>
      </c>
      <c r="J221" s="66" t="s">
        <v>188</v>
      </c>
      <c r="K221" s="72">
        <f t="shared" ref="K221:T221" si="130">K117</f>
        <v>1</v>
      </c>
      <c r="L221" s="61">
        <f t="shared" si="130"/>
        <v>0</v>
      </c>
      <c r="M221" s="61">
        <f t="shared" si="130"/>
        <v>1</v>
      </c>
      <c r="N221" s="61">
        <f t="shared" si="130"/>
        <v>1</v>
      </c>
      <c r="O221" s="61">
        <f t="shared" si="130"/>
        <v>0</v>
      </c>
      <c r="P221" s="61">
        <f t="shared" si="130"/>
        <v>0</v>
      </c>
      <c r="Q221" s="96">
        <f t="shared" si="130"/>
        <v>68</v>
      </c>
      <c r="R221" s="72">
        <f t="shared" si="130"/>
        <v>1</v>
      </c>
      <c r="S221" s="75" t="str">
        <f t="shared" si="130"/>
        <v>N/A</v>
      </c>
      <c r="T221" s="62" t="str">
        <f t="shared" si="130"/>
        <v xml:space="preserve">SplitHeatPump  </v>
      </c>
      <c r="U221" s="72">
        <f t="shared" si="112"/>
        <v>0</v>
      </c>
      <c r="V221" s="61">
        <f t="shared" si="113"/>
        <v>1</v>
      </c>
      <c r="W221" s="61">
        <f t="shared" si="114"/>
        <v>0</v>
      </c>
      <c r="X221" s="61">
        <f t="shared" si="115"/>
        <v>0</v>
      </c>
      <c r="Y221" s="61">
        <v>-1</v>
      </c>
      <c r="Z221" s="61" t="s">
        <v>0</v>
      </c>
      <c r="AA221" s="62" t="str">
        <f t="shared" si="116"/>
        <v>DuctlessVRFHeatPump - Ductless variable refrigerant flow (VRF) heat pump system</v>
      </c>
      <c r="AC221" t="s">
        <v>524</v>
      </c>
    </row>
    <row r="222" spans="1:29" x14ac:dyDescent="0.25">
      <c r="C222" s="61">
        <f t="shared" si="124"/>
        <v>2016</v>
      </c>
      <c r="D222" s="6">
        <f t="shared" si="119"/>
        <v>2017</v>
      </c>
      <c r="E222" t="s">
        <v>144</v>
      </c>
      <c r="F222" s="67" t="s">
        <v>154</v>
      </c>
      <c r="G222" s="55">
        <v>8</v>
      </c>
      <c r="H222" s="66" t="s">
        <v>189</v>
      </c>
      <c r="I222" s="66" t="s">
        <v>189</v>
      </c>
      <c r="J222" s="66" t="s">
        <v>188</v>
      </c>
      <c r="K222" s="72">
        <f t="shared" ref="K222:T222" si="131">K118</f>
        <v>1</v>
      </c>
      <c r="L222" s="61">
        <f t="shared" si="131"/>
        <v>1</v>
      </c>
      <c r="M222" s="61">
        <f t="shared" si="131"/>
        <v>1</v>
      </c>
      <c r="N222" s="61">
        <f t="shared" si="131"/>
        <v>1</v>
      </c>
      <c r="O222" s="61">
        <f t="shared" si="131"/>
        <v>0</v>
      </c>
      <c r="P222" s="61">
        <f t="shared" si="131"/>
        <v>0</v>
      </c>
      <c r="Q222" s="96">
        <f t="shared" si="131"/>
        <v>68</v>
      </c>
      <c r="R222" s="96">
        <f t="shared" si="131"/>
        <v>0</v>
      </c>
      <c r="S222" s="75" t="str">
        <f t="shared" si="131"/>
        <v xml:space="preserve">SplitHeatPump  </v>
      </c>
      <c r="T222" s="62" t="str">
        <f t="shared" si="131"/>
        <v>N/A</v>
      </c>
      <c r="U222" s="92">
        <f t="shared" si="112"/>
        <v>0</v>
      </c>
      <c r="V222" s="6">
        <f t="shared" si="113"/>
        <v>1</v>
      </c>
      <c r="W222" s="6">
        <f t="shared" si="114"/>
        <v>0</v>
      </c>
      <c r="X222" s="6">
        <f t="shared" si="115"/>
        <v>0</v>
      </c>
      <c r="Y222" s="61">
        <v>-1</v>
      </c>
      <c r="Z222" s="61" t="s">
        <v>0</v>
      </c>
      <c r="AA222" s="62" t="str">
        <f t="shared" si="116"/>
        <v xml:space="preserve">PkgHeatPump - Heating side of central packaged heat pump          </v>
      </c>
    </row>
    <row r="223" spans="1:29" x14ac:dyDescent="0.25">
      <c r="C223" s="61">
        <f t="shared" si="124"/>
        <v>2016</v>
      </c>
      <c r="D223" s="6">
        <f t="shared" si="119"/>
        <v>2017</v>
      </c>
      <c r="E223" t="s">
        <v>145</v>
      </c>
      <c r="F223" s="67" t="s">
        <v>154</v>
      </c>
      <c r="G223" s="11">
        <v>0</v>
      </c>
      <c r="H223" s="66" t="s">
        <v>189</v>
      </c>
      <c r="I223" s="66" t="s">
        <v>189</v>
      </c>
      <c r="J223" s="66" t="s">
        <v>188</v>
      </c>
      <c r="K223" s="72">
        <f t="shared" ref="K223:T223" si="132">K119</f>
        <v>0</v>
      </c>
      <c r="L223" s="61">
        <f t="shared" si="132"/>
        <v>1</v>
      </c>
      <c r="M223" s="61">
        <f t="shared" si="132"/>
        <v>1</v>
      </c>
      <c r="N223" s="61">
        <f t="shared" si="132"/>
        <v>1</v>
      </c>
      <c r="O223" s="61">
        <f t="shared" si="132"/>
        <v>0</v>
      </c>
      <c r="P223" s="61">
        <f t="shared" si="132"/>
        <v>0</v>
      </c>
      <c r="Q223" s="96">
        <f t="shared" si="132"/>
        <v>68</v>
      </c>
      <c r="R223" s="96">
        <f t="shared" si="132"/>
        <v>0</v>
      </c>
      <c r="S223" s="75" t="str">
        <f t="shared" si="132"/>
        <v xml:space="preserve">SplitHeatPump  </v>
      </c>
      <c r="T223" s="62" t="str">
        <f t="shared" si="132"/>
        <v>N/A</v>
      </c>
      <c r="U223" s="92">
        <f t="shared" si="112"/>
        <v>0</v>
      </c>
      <c r="V223" s="6">
        <f t="shared" si="113"/>
        <v>0</v>
      </c>
      <c r="W223" s="6">
        <f t="shared" si="114"/>
        <v>0</v>
      </c>
      <c r="X223" s="6">
        <f t="shared" si="115"/>
        <v>0</v>
      </c>
      <c r="Y223" s="61">
        <v>-1</v>
      </c>
      <c r="Z223" s="61" t="s">
        <v>0</v>
      </c>
      <c r="AA223" s="62" t="str">
        <f t="shared" si="116"/>
        <v>LrgPkgHeatPump - Heating side of large (&gt;= 65 kBtuh) packaged unit</v>
      </c>
    </row>
    <row r="224" spans="1:29" x14ac:dyDescent="0.25">
      <c r="C224" s="61">
        <f t="shared" si="124"/>
        <v>2016</v>
      </c>
      <c r="D224" s="6">
        <f t="shared" si="119"/>
        <v>2017</v>
      </c>
      <c r="E224" t="s">
        <v>146</v>
      </c>
      <c r="F224" s="67" t="s">
        <v>154</v>
      </c>
      <c r="G224" s="55">
        <v>7.4</v>
      </c>
      <c r="H224" s="66" t="s">
        <v>189</v>
      </c>
      <c r="I224" s="66" t="s">
        <v>189</v>
      </c>
      <c r="J224" s="66" t="s">
        <v>188</v>
      </c>
      <c r="K224" s="72">
        <f t="shared" ref="K224:T224" si="133">K120</f>
        <v>1</v>
      </c>
      <c r="L224" s="61">
        <f t="shared" si="133"/>
        <v>0</v>
      </c>
      <c r="M224" s="61">
        <f t="shared" si="133"/>
        <v>1</v>
      </c>
      <c r="N224" s="61">
        <f t="shared" si="133"/>
        <v>1</v>
      </c>
      <c r="O224" s="61">
        <f t="shared" si="133"/>
        <v>0</v>
      </c>
      <c r="P224" s="61">
        <f t="shared" si="133"/>
        <v>0</v>
      </c>
      <c r="Q224" s="96">
        <f t="shared" si="133"/>
        <v>68</v>
      </c>
      <c r="R224" s="96">
        <f t="shared" si="133"/>
        <v>1</v>
      </c>
      <c r="S224" s="75" t="str">
        <f t="shared" si="133"/>
        <v>N/A</v>
      </c>
      <c r="T224" s="62" t="str">
        <f t="shared" si="133"/>
        <v xml:space="preserve">SplitHeatPump  </v>
      </c>
      <c r="U224" s="92">
        <f t="shared" si="112"/>
        <v>0</v>
      </c>
      <c r="V224" s="6">
        <f t="shared" si="113"/>
        <v>1</v>
      </c>
      <c r="W224" s="6">
        <f t="shared" si="114"/>
        <v>0</v>
      </c>
      <c r="X224" s="6">
        <f t="shared" si="115"/>
        <v>0</v>
      </c>
      <c r="Y224" s="61">
        <v>-1</v>
      </c>
      <c r="Z224" s="61" t="s">
        <v>0</v>
      </c>
      <c r="AA224" s="62" t="str">
        <f t="shared" si="116"/>
        <v xml:space="preserve">RoomHeatPump - Heating side of non-central room A/C system        </v>
      </c>
    </row>
    <row r="225" spans="1:29" x14ac:dyDescent="0.25">
      <c r="C225" s="61">
        <f t="shared" si="124"/>
        <v>2016</v>
      </c>
      <c r="D225" s="6">
        <f t="shared" si="119"/>
        <v>2017</v>
      </c>
      <c r="E225" t="s">
        <v>147</v>
      </c>
      <c r="F225" s="67" t="s">
        <v>154</v>
      </c>
      <c r="G225" s="10">
        <v>8.1999999999999993</v>
      </c>
      <c r="H225" s="66" t="s">
        <v>189</v>
      </c>
      <c r="I225" s="66" t="s">
        <v>189</v>
      </c>
      <c r="J225" s="66" t="s">
        <v>188</v>
      </c>
      <c r="K225" s="72">
        <f t="shared" ref="K225:T225" si="134">K121</f>
        <v>1</v>
      </c>
      <c r="L225" s="61">
        <f t="shared" si="134"/>
        <v>-1</v>
      </c>
      <c r="M225" s="61">
        <f t="shared" si="134"/>
        <v>0</v>
      </c>
      <c r="N225" s="61">
        <f t="shared" si="134"/>
        <v>1</v>
      </c>
      <c r="O225" s="61">
        <f t="shared" si="134"/>
        <v>0</v>
      </c>
      <c r="P225" s="61">
        <f t="shared" si="134"/>
        <v>0</v>
      </c>
      <c r="Q225" s="96">
        <f t="shared" si="134"/>
        <v>-1</v>
      </c>
      <c r="R225" s="96">
        <f t="shared" si="134"/>
        <v>0</v>
      </c>
      <c r="S225" s="75" t="str">
        <f t="shared" si="134"/>
        <v xml:space="preserve">SplitHeatPump  </v>
      </c>
      <c r="T225" s="62" t="str">
        <f t="shared" si="134"/>
        <v xml:space="preserve">SplitHeatPump  </v>
      </c>
      <c r="U225" s="92">
        <f t="shared" si="112"/>
        <v>0</v>
      </c>
      <c r="V225" s="6">
        <f t="shared" si="113"/>
        <v>1</v>
      </c>
      <c r="W225" s="6">
        <f t="shared" si="114"/>
        <v>0</v>
      </c>
      <c r="X225" s="6">
        <f t="shared" si="115"/>
        <v>0</v>
      </c>
      <c r="Y225" s="61">
        <v>-1</v>
      </c>
      <c r="Z225" s="61" t="s">
        <v>0</v>
      </c>
      <c r="AA225" s="62" t="str">
        <f t="shared" si="116"/>
        <v xml:space="preserve">Electric - All electric heating systems other than heat pump      </v>
      </c>
    </row>
    <row r="226" spans="1:29" x14ac:dyDescent="0.25">
      <c r="C226" s="61">
        <f t="shared" si="118"/>
        <v>2016</v>
      </c>
      <c r="D226" s="6">
        <f t="shared" si="119"/>
        <v>2017</v>
      </c>
      <c r="E226" t="s">
        <v>148</v>
      </c>
      <c r="F226" s="67" t="s">
        <v>154</v>
      </c>
      <c r="G226" s="66" t="s">
        <v>155</v>
      </c>
      <c r="H226" s="66" t="s">
        <v>189</v>
      </c>
      <c r="I226" s="66" t="s">
        <v>189</v>
      </c>
      <c r="J226" s="66" t="s">
        <v>188</v>
      </c>
      <c r="K226" s="72">
        <f t="shared" ref="K226:T226" si="135">K122</f>
        <v>1</v>
      </c>
      <c r="L226" s="61">
        <f t="shared" si="135"/>
        <v>-1</v>
      </c>
      <c r="M226" s="61">
        <f t="shared" si="135"/>
        <v>0</v>
      </c>
      <c r="N226" s="61">
        <f t="shared" si="135"/>
        <v>0</v>
      </c>
      <c r="O226" s="61">
        <f t="shared" si="135"/>
        <v>1</v>
      </c>
      <c r="P226" s="61">
        <f t="shared" si="135"/>
        <v>0</v>
      </c>
      <c r="Q226" s="96">
        <f t="shared" si="135"/>
        <v>-1</v>
      </c>
      <c r="R226" s="96">
        <f t="shared" si="135"/>
        <v>0</v>
      </c>
      <c r="S226" s="75" t="str">
        <f t="shared" si="135"/>
        <v xml:space="preserve">CntrlFurnace   </v>
      </c>
      <c r="T226" s="62" t="str">
        <f t="shared" si="135"/>
        <v xml:space="preserve">CntrlFurnace   </v>
      </c>
      <c r="U226" s="92">
        <f t="shared" si="112"/>
        <v>0</v>
      </c>
      <c r="V226" s="6">
        <f t="shared" si="113"/>
        <v>0</v>
      </c>
      <c r="W226" s="6">
        <f t="shared" si="114"/>
        <v>0</v>
      </c>
      <c r="X226" s="6">
        <f t="shared" si="115"/>
        <v>0</v>
      </c>
      <c r="Y226" s="61">
        <v>-1</v>
      </c>
      <c r="Z226" s="61" t="s">
        <v>0</v>
      </c>
      <c r="AA226" s="62" t="str">
        <f t="shared" si="116"/>
        <v xml:space="preserve">CombHydro - Water heating system can be storage gas/elec/ht pump  </v>
      </c>
    </row>
    <row r="227" spans="1:29" x14ac:dyDescent="0.25">
      <c r="C227" s="61">
        <f t="shared" si="118"/>
        <v>2016</v>
      </c>
      <c r="D227" s="6">
        <f t="shared" si="119"/>
        <v>2017</v>
      </c>
      <c r="E227" t="s">
        <v>510</v>
      </c>
      <c r="F227" s="67" t="s">
        <v>154</v>
      </c>
      <c r="G227" s="66" t="s">
        <v>155</v>
      </c>
      <c r="H227" s="66" t="s">
        <v>189</v>
      </c>
      <c r="I227" s="66" t="s">
        <v>189</v>
      </c>
      <c r="J227" s="66" t="s">
        <v>188</v>
      </c>
      <c r="K227" s="72">
        <f t="shared" ref="K227:T227" si="136">K123</f>
        <v>1</v>
      </c>
      <c r="L227" s="61">
        <f t="shared" si="136"/>
        <v>-1</v>
      </c>
      <c r="M227" s="61">
        <f t="shared" si="136"/>
        <v>0</v>
      </c>
      <c r="N227" s="61">
        <f t="shared" si="136"/>
        <v>1</v>
      </c>
      <c r="O227" s="61">
        <f t="shared" si="136"/>
        <v>0</v>
      </c>
      <c r="P227" s="61">
        <f t="shared" si="136"/>
        <v>0</v>
      </c>
      <c r="Q227" s="96">
        <f t="shared" si="136"/>
        <v>-1</v>
      </c>
      <c r="R227" s="96">
        <f t="shared" si="136"/>
        <v>0</v>
      </c>
      <c r="S227" s="75" t="str">
        <f t="shared" si="136"/>
        <v xml:space="preserve">SplitHeatPump  </v>
      </c>
      <c r="T227" s="62" t="str">
        <f t="shared" si="136"/>
        <v xml:space="preserve">SplitHeatPump  </v>
      </c>
      <c r="U227" s="92">
        <f t="shared" si="112"/>
        <v>0</v>
      </c>
      <c r="V227" s="6">
        <f t="shared" si="113"/>
        <v>0</v>
      </c>
      <c r="W227" s="6">
        <f t="shared" si="114"/>
        <v>0</v>
      </c>
      <c r="X227" s="6">
        <f t="shared" si="115"/>
        <v>0</v>
      </c>
      <c r="Y227" s="61">
        <v>-1</v>
      </c>
      <c r="Z227" s="61" t="s">
        <v>0</v>
      </c>
      <c r="AA227" s="62" t="str">
        <f t="shared" si="116"/>
        <v xml:space="preserve">CombHydro - Water heating system can be storage gas/elec/ht pump  </v>
      </c>
    </row>
    <row r="228" spans="1:29" x14ac:dyDescent="0.25">
      <c r="C228" s="61">
        <f t="shared" si="118"/>
        <v>2016</v>
      </c>
      <c r="D228" s="6">
        <f t="shared" si="119"/>
        <v>2017</v>
      </c>
      <c r="E228" t="s">
        <v>367</v>
      </c>
      <c r="F228" s="67" t="s">
        <v>154</v>
      </c>
      <c r="G228" s="66" t="s">
        <v>155</v>
      </c>
      <c r="H228" s="66" t="s">
        <v>189</v>
      </c>
      <c r="I228" s="66" t="s">
        <v>189</v>
      </c>
      <c r="J228" s="66" t="s">
        <v>188</v>
      </c>
      <c r="K228" s="72">
        <f t="shared" ref="K228:T228" si="137">K124</f>
        <v>1</v>
      </c>
      <c r="L228" s="61">
        <f t="shared" si="137"/>
        <v>-1</v>
      </c>
      <c r="M228" s="61">
        <f t="shared" si="137"/>
        <v>1</v>
      </c>
      <c r="N228" s="61">
        <f t="shared" si="137"/>
        <v>1</v>
      </c>
      <c r="O228" s="61">
        <f t="shared" si="137"/>
        <v>0</v>
      </c>
      <c r="P228" s="61">
        <f t="shared" si="137"/>
        <v>1</v>
      </c>
      <c r="Q228" s="96">
        <f t="shared" si="137"/>
        <v>68</v>
      </c>
      <c r="R228" s="96">
        <f t="shared" si="137"/>
        <v>0</v>
      </c>
      <c r="S228" s="75" t="str">
        <f t="shared" si="137"/>
        <v xml:space="preserve">SplitHeatPump  </v>
      </c>
      <c r="T228" s="62" t="str">
        <f t="shared" si="137"/>
        <v xml:space="preserve">SplitHeatPump  </v>
      </c>
      <c r="U228" s="92">
        <f t="shared" si="112"/>
        <v>0</v>
      </c>
      <c r="V228" s="6">
        <f t="shared" si="113"/>
        <v>0</v>
      </c>
      <c r="W228" s="6">
        <f t="shared" si="114"/>
        <v>0</v>
      </c>
      <c r="X228" s="6">
        <f t="shared" si="115"/>
        <v>0</v>
      </c>
      <c r="Y228" s="61">
        <v>-1</v>
      </c>
      <c r="Z228" s="61" t="s">
        <v>0</v>
      </c>
      <c r="AA228" s="62" t="str">
        <f t="shared" si="116"/>
        <v>AirToWaterHeatPump - Air to water heat pump (able to heat DHW)</v>
      </c>
    </row>
    <row r="229" spans="1:29" x14ac:dyDescent="0.25">
      <c r="C229" s="61">
        <f t="shared" si="118"/>
        <v>2016</v>
      </c>
      <c r="D229" s="6">
        <f t="shared" si="119"/>
        <v>2017</v>
      </c>
      <c r="E229" t="s">
        <v>366</v>
      </c>
      <c r="F229" s="67" t="s">
        <v>154</v>
      </c>
      <c r="G229" s="10">
        <v>8.1999999999999993</v>
      </c>
      <c r="H229" s="66" t="s">
        <v>189</v>
      </c>
      <c r="I229" s="66" t="s">
        <v>189</v>
      </c>
      <c r="J229" s="66" t="s">
        <v>188</v>
      </c>
      <c r="K229" s="72">
        <f t="shared" ref="K229:T229" si="138">K125</f>
        <v>1</v>
      </c>
      <c r="L229" s="61">
        <f t="shared" si="138"/>
        <v>-1</v>
      </c>
      <c r="M229" s="61">
        <f t="shared" si="138"/>
        <v>1</v>
      </c>
      <c r="N229" s="61">
        <f t="shared" si="138"/>
        <v>1</v>
      </c>
      <c r="O229" s="61">
        <f t="shared" si="138"/>
        <v>0</v>
      </c>
      <c r="P229" s="61">
        <f t="shared" si="138"/>
        <v>1</v>
      </c>
      <c r="Q229" s="96">
        <f t="shared" si="138"/>
        <v>68</v>
      </c>
      <c r="R229" s="96">
        <f t="shared" si="138"/>
        <v>1</v>
      </c>
      <c r="S229" s="75" t="str">
        <f t="shared" si="138"/>
        <v xml:space="preserve">SplitHeatPump  </v>
      </c>
      <c r="T229" s="62" t="str">
        <f t="shared" si="138"/>
        <v xml:space="preserve">SplitHeatPump  </v>
      </c>
      <c r="U229" s="92">
        <f t="shared" si="112"/>
        <v>0</v>
      </c>
      <c r="V229" s="6">
        <f t="shared" si="113"/>
        <v>1</v>
      </c>
      <c r="W229" s="6">
        <f t="shared" si="114"/>
        <v>0</v>
      </c>
      <c r="X229" s="6">
        <f t="shared" si="115"/>
        <v>0</v>
      </c>
      <c r="Y229" s="61">
        <v>-1</v>
      </c>
      <c r="Z229" s="61" t="s">
        <v>0</v>
      </c>
      <c r="AA229" s="62" t="str">
        <f t="shared" si="116"/>
        <v>GroundSourceHeatPump - Ground source heat pump (able to heat DHW)</v>
      </c>
    </row>
    <row r="230" spans="1:29" x14ac:dyDescent="0.25">
      <c r="C230" s="61">
        <f t="shared" si="118"/>
        <v>2016</v>
      </c>
      <c r="D230" s="6">
        <f t="shared" si="119"/>
        <v>2017</v>
      </c>
      <c r="E230" t="s">
        <v>549</v>
      </c>
      <c r="F230" s="67" t="s">
        <v>154</v>
      </c>
      <c r="G230" s="10">
        <v>8.1999999999999993</v>
      </c>
      <c r="H230" s="66" t="s">
        <v>189</v>
      </c>
      <c r="I230" s="66" t="s">
        <v>189</v>
      </c>
      <c r="J230" s="66" t="s">
        <v>188</v>
      </c>
      <c r="K230" s="72">
        <f t="shared" ref="K230:T230" si="139">K126</f>
        <v>1</v>
      </c>
      <c r="L230" s="61">
        <f t="shared" si="139"/>
        <v>-1</v>
      </c>
      <c r="M230" s="61">
        <f t="shared" si="139"/>
        <v>1</v>
      </c>
      <c r="N230" s="61">
        <f t="shared" si="139"/>
        <v>1</v>
      </c>
      <c r="O230" s="61">
        <f t="shared" si="139"/>
        <v>0</v>
      </c>
      <c r="P230" s="61">
        <f t="shared" si="139"/>
        <v>0</v>
      </c>
      <c r="Q230" s="96">
        <f t="shared" si="139"/>
        <v>68</v>
      </c>
      <c r="R230" s="96">
        <f t="shared" si="139"/>
        <v>0</v>
      </c>
      <c r="S230" s="75" t="str">
        <f t="shared" si="139"/>
        <v xml:space="preserve">SplitHeatPump  </v>
      </c>
      <c r="T230" s="62" t="str">
        <f t="shared" si="139"/>
        <v xml:space="preserve">SplitHeatPump  </v>
      </c>
      <c r="U230" s="92">
        <f t="shared" ref="U230" si="140">IF(AND(ISNUMBER(F230), F230&gt;0), 1, 0)</f>
        <v>0</v>
      </c>
      <c r="V230" s="6">
        <f t="shared" si="113"/>
        <v>1</v>
      </c>
      <c r="W230" s="6">
        <f t="shared" si="114"/>
        <v>0</v>
      </c>
      <c r="X230" s="6">
        <f t="shared" ref="X230" si="141">IF(AND(ISNUMBER(J230), J230&gt;0), 1, 0)</f>
        <v>0</v>
      </c>
      <c r="Y230" s="61">
        <v>-1</v>
      </c>
      <c r="Z230" s="61" t="s">
        <v>0</v>
      </c>
      <c r="AA230" s="62" t="str">
        <f t="shared" si="116"/>
        <v>VCHP - Variable Capacity Heat Pump</v>
      </c>
      <c r="AC230" t="s">
        <v>551</v>
      </c>
    </row>
    <row r="231" spans="1:29" x14ac:dyDescent="0.25">
      <c r="C231" s="61">
        <f t="shared" si="118"/>
        <v>2016</v>
      </c>
      <c r="D231" s="6">
        <f t="shared" si="119"/>
        <v>2017</v>
      </c>
      <c r="E231" t="s">
        <v>728</v>
      </c>
      <c r="F231" s="67" t="s">
        <v>154</v>
      </c>
      <c r="G231" s="10">
        <v>8.1999999999999993</v>
      </c>
      <c r="H231" s="66" t="s">
        <v>189</v>
      </c>
      <c r="I231" s="66" t="s">
        <v>189</v>
      </c>
      <c r="J231" s="66" t="s">
        <v>188</v>
      </c>
      <c r="K231" s="72">
        <f t="shared" ref="K231:T232" si="142">K127</f>
        <v>1</v>
      </c>
      <c r="L231" s="61">
        <f t="shared" si="142"/>
        <v>-1</v>
      </c>
      <c r="M231" s="61">
        <f t="shared" si="142"/>
        <v>1</v>
      </c>
      <c r="N231" s="61">
        <f t="shared" si="142"/>
        <v>1</v>
      </c>
      <c r="O231" s="61">
        <f t="shared" si="142"/>
        <v>0</v>
      </c>
      <c r="P231" s="61">
        <f t="shared" si="142"/>
        <v>0</v>
      </c>
      <c r="Q231" s="96">
        <f t="shared" si="142"/>
        <v>68</v>
      </c>
      <c r="R231" s="96">
        <f t="shared" si="142"/>
        <v>0</v>
      </c>
      <c r="S231" s="75" t="str">
        <f t="shared" si="142"/>
        <v xml:space="preserve">SplitHeatPump  </v>
      </c>
      <c r="T231" s="62" t="str">
        <f t="shared" si="142"/>
        <v xml:space="preserve">SplitHeatPump  </v>
      </c>
      <c r="U231" s="92">
        <f t="shared" ref="U231" si="143">IF(AND(ISNUMBER(F231), F231&gt;0), 1, 0)</f>
        <v>0</v>
      </c>
      <c r="V231" s="6">
        <f t="shared" ref="V231" si="144">IF(AND(ISNUMBER(G231), G231&gt;0), 1, 0)</f>
        <v>1</v>
      </c>
      <c r="W231" s="6">
        <f t="shared" si="114"/>
        <v>0</v>
      </c>
      <c r="X231" s="6">
        <f t="shared" ref="X231" si="145">IF(AND(ISNUMBER(J231), J231&gt;0), 1, 0)</f>
        <v>0</v>
      </c>
      <c r="Y231" s="61">
        <v>-1</v>
      </c>
      <c r="Z231" s="61" t="s">
        <v>0</v>
      </c>
      <c r="AA231" s="62" t="str">
        <f t="shared" si="116"/>
        <v>VCHP2 - Variable Capacity Heat Pump</v>
      </c>
      <c r="AC231" t="s">
        <v>551</v>
      </c>
    </row>
    <row r="232" spans="1:29" x14ac:dyDescent="0.25">
      <c r="C232" s="61">
        <f t="shared" si="118"/>
        <v>2016</v>
      </c>
      <c r="D232" s="6">
        <f t="shared" si="119"/>
        <v>2017</v>
      </c>
      <c r="E232" t="s">
        <v>1065</v>
      </c>
      <c r="F232" s="67" t="s">
        <v>154</v>
      </c>
      <c r="G232" s="10">
        <v>8.1999999999999993</v>
      </c>
      <c r="H232" s="66" t="s">
        <v>189</v>
      </c>
      <c r="I232" s="66" t="s">
        <v>189</v>
      </c>
      <c r="J232" s="66" t="s">
        <v>188</v>
      </c>
      <c r="K232" s="72">
        <f t="shared" si="142"/>
        <v>1</v>
      </c>
      <c r="L232" s="61">
        <f t="shared" si="142"/>
        <v>-1</v>
      </c>
      <c r="M232" s="61">
        <f t="shared" si="142"/>
        <v>1</v>
      </c>
      <c r="N232" s="61">
        <f t="shared" si="142"/>
        <v>1</v>
      </c>
      <c r="O232" s="61">
        <f t="shared" si="142"/>
        <v>0</v>
      </c>
      <c r="P232" s="61">
        <f t="shared" si="142"/>
        <v>0</v>
      </c>
      <c r="Q232" s="96">
        <f t="shared" si="142"/>
        <v>68</v>
      </c>
      <c r="R232" s="96">
        <f t="shared" si="142"/>
        <v>0</v>
      </c>
      <c r="S232" s="75" t="str">
        <f t="shared" si="142"/>
        <v xml:space="preserve">SplitHeatPump  </v>
      </c>
      <c r="T232" s="62" t="str">
        <f t="shared" si="142"/>
        <v xml:space="preserve">SplitHeatPump  </v>
      </c>
      <c r="U232" s="92">
        <f t="shared" ref="U232" si="146">IF(AND(ISNUMBER(F232), F232&gt;0), 1, 0)</f>
        <v>0</v>
      </c>
      <c r="V232" s="6">
        <f t="shared" ref="V232" si="147">IF(AND(ISNUMBER(G232), G232&gt;0), 1, 0)</f>
        <v>1</v>
      </c>
      <c r="W232" s="6">
        <f t="shared" ref="W232" si="148">IF(AND(ISNUMBER(H232), H232&gt;0), 1, 0)</f>
        <v>0</v>
      </c>
      <c r="X232" s="6">
        <f t="shared" ref="X232" si="149">IF(AND(ISNUMBER(J232), J232&gt;0), 1, 0)</f>
        <v>0</v>
      </c>
      <c r="Y232" s="61">
        <v>-1</v>
      </c>
      <c r="Z232" s="61" t="s">
        <v>0</v>
      </c>
      <c r="AA232" s="62" t="str">
        <f t="shared" si="116"/>
        <v>VCHP3</v>
      </c>
      <c r="AC232" t="s">
        <v>551</v>
      </c>
    </row>
    <row r="233" spans="1:29" x14ac:dyDescent="0.25">
      <c r="A233" t="s">
        <v>537</v>
      </c>
      <c r="D233" s="126"/>
      <c r="E233" s="126"/>
      <c r="F233" s="126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6"/>
    </row>
    <row r="234" spans="1:29" x14ac:dyDescent="0.25">
      <c r="C234" s="60">
        <v>2019</v>
      </c>
      <c r="D234" s="60">
        <v>2020</v>
      </c>
      <c r="E234" t="s">
        <v>141</v>
      </c>
      <c r="F234" s="50">
        <v>80</v>
      </c>
      <c r="G234" s="66" t="s">
        <v>155</v>
      </c>
      <c r="H234" s="66" t="s">
        <v>189</v>
      </c>
      <c r="I234" s="66" t="s">
        <v>189</v>
      </c>
      <c r="J234" s="66" t="s">
        <v>188</v>
      </c>
      <c r="K234" s="128">
        <f>K210</f>
        <v>1</v>
      </c>
      <c r="L234" s="129">
        <f t="shared" ref="L234:S234" si="150">L210</f>
        <v>1</v>
      </c>
      <c r="M234" s="129">
        <f t="shared" si="150"/>
        <v>0</v>
      </c>
      <c r="N234" s="129">
        <f t="shared" si="150"/>
        <v>0</v>
      </c>
      <c r="O234" s="129">
        <f t="shared" si="150"/>
        <v>1</v>
      </c>
      <c r="P234" s="130">
        <f t="shared" si="150"/>
        <v>0</v>
      </c>
      <c r="Q234" s="72">
        <f t="shared" si="150"/>
        <v>-1</v>
      </c>
      <c r="R234" s="72">
        <f t="shared" si="150"/>
        <v>0</v>
      </c>
      <c r="S234" s="75" t="str">
        <f t="shared" si="150"/>
        <v xml:space="preserve">CntrlFurnace   </v>
      </c>
      <c r="T234" s="62" t="str">
        <f>S234</f>
        <v xml:space="preserve">CntrlFurnace   </v>
      </c>
      <c r="U234" s="92">
        <f t="shared" ref="U234:U259" si="151">IF(AND(ISNUMBER(F234), F234&gt;0), 1, 0)</f>
        <v>1</v>
      </c>
      <c r="V234" s="6">
        <f t="shared" ref="V234:V242" si="152">IF(AND(ISNUMBER(G234), G234&gt;0), 1, 0)</f>
        <v>0</v>
      </c>
      <c r="W234" s="6">
        <f t="shared" ref="W234:W261" si="153">IF(AND(ISNUMBER(H234), H234&gt;0), 1, 0)</f>
        <v>0</v>
      </c>
      <c r="X234" s="6">
        <f t="shared" ref="X234:X259" si="154">IF(AND(ISNUMBER(J234), J234&gt;0), 1, 0)</f>
        <v>0</v>
      </c>
      <c r="Y234" s="48">
        <v>1</v>
      </c>
      <c r="Z234" s="61" t="s">
        <v>0</v>
      </c>
      <c r="AA234" s="62" t="str">
        <f>AA210</f>
        <v xml:space="preserve">CntrlFurnace - Fuel-fired central furnace                         </v>
      </c>
    </row>
    <row r="235" spans="1:29" x14ac:dyDescent="0.25">
      <c r="C235" s="61">
        <f>C234</f>
        <v>2019</v>
      </c>
      <c r="D235" s="6">
        <f>D234</f>
        <v>2020</v>
      </c>
      <c r="E235" t="s">
        <v>385</v>
      </c>
      <c r="F235" s="63">
        <v>73</v>
      </c>
      <c r="G235" s="66" t="s">
        <v>155</v>
      </c>
      <c r="H235" s="66" t="s">
        <v>189</v>
      </c>
      <c r="I235" s="66" t="s">
        <v>189</v>
      </c>
      <c r="J235" s="66" t="s">
        <v>188</v>
      </c>
      <c r="K235" s="72">
        <f>K211</f>
        <v>1</v>
      </c>
      <c r="L235" s="61">
        <f t="shared" ref="L235:T235" si="155">L211</f>
        <v>0</v>
      </c>
      <c r="M235" s="61">
        <f t="shared" si="155"/>
        <v>0</v>
      </c>
      <c r="N235" s="61">
        <f t="shared" si="155"/>
        <v>0</v>
      </c>
      <c r="O235" s="61">
        <f t="shared" si="155"/>
        <v>1</v>
      </c>
      <c r="P235" s="105">
        <f t="shared" si="155"/>
        <v>0</v>
      </c>
      <c r="Q235" s="72">
        <f t="shared" si="155"/>
        <v>-1</v>
      </c>
      <c r="R235" s="72">
        <f t="shared" si="155"/>
        <v>0</v>
      </c>
      <c r="S235" s="75" t="str">
        <f>T235</f>
        <v xml:space="preserve">CntrlFurnace   </v>
      </c>
      <c r="T235" s="62" t="str">
        <f t="shared" si="155"/>
        <v xml:space="preserve">CntrlFurnace   </v>
      </c>
      <c r="U235" s="92">
        <f t="shared" si="151"/>
        <v>1</v>
      </c>
      <c r="V235" s="6">
        <f t="shared" si="152"/>
        <v>0</v>
      </c>
      <c r="W235" s="6">
        <f t="shared" si="153"/>
        <v>0</v>
      </c>
      <c r="X235" s="6">
        <f t="shared" si="154"/>
        <v>0</v>
      </c>
      <c r="Y235" s="48">
        <v>1</v>
      </c>
      <c r="Z235" s="61" t="s">
        <v>0</v>
      </c>
      <c r="AA235" s="62" t="str">
        <f>AA211</f>
        <v>WallFurnaceFan - Ductless fan forced wall furnace</v>
      </c>
    </row>
    <row r="236" spans="1:29" x14ac:dyDescent="0.25">
      <c r="C236" s="61">
        <f t="shared" ref="C236:D257" si="156">C235</f>
        <v>2019</v>
      </c>
      <c r="D236" s="6">
        <f t="shared" si="156"/>
        <v>2020</v>
      </c>
      <c r="E236" t="s">
        <v>386</v>
      </c>
      <c r="F236" s="63">
        <v>59</v>
      </c>
      <c r="G236" s="66" t="s">
        <v>155</v>
      </c>
      <c r="H236" s="66" t="s">
        <v>189</v>
      </c>
      <c r="I236" s="66" t="s">
        <v>189</v>
      </c>
      <c r="J236" s="66" t="s">
        <v>188</v>
      </c>
      <c r="K236" s="72">
        <f>K212</f>
        <v>1</v>
      </c>
      <c r="L236" s="61">
        <f t="shared" ref="L236:T236" si="157">L212</f>
        <v>0</v>
      </c>
      <c r="M236" s="61">
        <f t="shared" si="157"/>
        <v>0</v>
      </c>
      <c r="N236" s="61">
        <f t="shared" si="157"/>
        <v>0</v>
      </c>
      <c r="O236" s="61">
        <f t="shared" si="157"/>
        <v>1</v>
      </c>
      <c r="P236" s="105">
        <f t="shared" si="157"/>
        <v>0</v>
      </c>
      <c r="Q236" s="72">
        <f t="shared" si="157"/>
        <v>-1</v>
      </c>
      <c r="R236" s="72">
        <f t="shared" si="157"/>
        <v>0</v>
      </c>
      <c r="S236" s="75" t="str">
        <f t="shared" ref="S236:S239" si="158">T236</f>
        <v xml:space="preserve">CntrlFurnace   </v>
      </c>
      <c r="T236" s="62" t="str">
        <f t="shared" si="157"/>
        <v xml:space="preserve">CntrlFurnace   </v>
      </c>
      <c r="U236" s="92">
        <f t="shared" si="151"/>
        <v>1</v>
      </c>
      <c r="V236" s="6">
        <f t="shared" si="152"/>
        <v>0</v>
      </c>
      <c r="W236" s="6">
        <f t="shared" si="153"/>
        <v>0</v>
      </c>
      <c r="X236" s="6">
        <f t="shared" si="154"/>
        <v>0</v>
      </c>
      <c r="Y236" s="48">
        <v>0</v>
      </c>
      <c r="Z236" s="61" t="s">
        <v>0</v>
      </c>
      <c r="AA236" s="62" t="str">
        <f>AA212</f>
        <v>WallFurnaceGravity - Ductless gravity flowed wall furnace</v>
      </c>
    </row>
    <row r="237" spans="1:29" x14ac:dyDescent="0.25">
      <c r="C237" s="61">
        <f t="shared" si="156"/>
        <v>2019</v>
      </c>
      <c r="D237" s="6">
        <f t="shared" si="156"/>
        <v>2020</v>
      </c>
      <c r="E237" t="s">
        <v>383</v>
      </c>
      <c r="F237" s="63">
        <v>56</v>
      </c>
      <c r="G237" s="66" t="s">
        <v>155</v>
      </c>
      <c r="H237" s="66" t="s">
        <v>189</v>
      </c>
      <c r="I237" s="66" t="s">
        <v>189</v>
      </c>
      <c r="J237" s="66" t="s">
        <v>188</v>
      </c>
      <c r="K237" s="72">
        <f>K213</f>
        <v>1</v>
      </c>
      <c r="L237" s="61">
        <f t="shared" ref="L237:T237" si="159">L213</f>
        <v>0</v>
      </c>
      <c r="M237" s="61">
        <f t="shared" si="159"/>
        <v>0</v>
      </c>
      <c r="N237" s="61">
        <f t="shared" si="159"/>
        <v>0</v>
      </c>
      <c r="O237" s="61">
        <f t="shared" si="159"/>
        <v>1</v>
      </c>
      <c r="P237" s="105">
        <f t="shared" si="159"/>
        <v>0</v>
      </c>
      <c r="Q237" s="72">
        <f t="shared" si="159"/>
        <v>-1</v>
      </c>
      <c r="R237" s="72">
        <f t="shared" si="159"/>
        <v>0</v>
      </c>
      <c r="S237" s="75" t="str">
        <f t="shared" si="158"/>
        <v xml:space="preserve">CntrlFurnace   </v>
      </c>
      <c r="T237" s="62" t="str">
        <f t="shared" si="159"/>
        <v xml:space="preserve">CntrlFurnace   </v>
      </c>
      <c r="U237" s="92">
        <f t="shared" si="151"/>
        <v>1</v>
      </c>
      <c r="V237" s="6">
        <f t="shared" si="152"/>
        <v>0</v>
      </c>
      <c r="W237" s="6">
        <f t="shared" si="153"/>
        <v>0</v>
      </c>
      <c r="X237" s="6">
        <f t="shared" si="154"/>
        <v>0</v>
      </c>
      <c r="Y237" s="48">
        <v>0</v>
      </c>
      <c r="Z237" s="61" t="s">
        <v>0</v>
      </c>
      <c r="AA237" s="62" t="str">
        <f>AA213</f>
        <v>FloorFurnace - Ductless floor heating system</v>
      </c>
    </row>
    <row r="238" spans="1:29" x14ac:dyDescent="0.25">
      <c r="C238" s="61">
        <f t="shared" ref="C238:D238" si="160">C237</f>
        <v>2019</v>
      </c>
      <c r="D238" s="6">
        <f t="shared" si="160"/>
        <v>2020</v>
      </c>
      <c r="E238" s="176" t="s">
        <v>675</v>
      </c>
      <c r="F238" s="180">
        <v>81</v>
      </c>
      <c r="G238" s="66" t="s">
        <v>155</v>
      </c>
      <c r="H238" s="66" t="s">
        <v>189</v>
      </c>
      <c r="I238" s="66" t="s">
        <v>189</v>
      </c>
      <c r="J238" s="66" t="s">
        <v>188</v>
      </c>
      <c r="K238" s="70">
        <v>1</v>
      </c>
      <c r="L238" s="48">
        <v>1</v>
      </c>
      <c r="M238" s="48">
        <v>0</v>
      </c>
      <c r="N238" s="48">
        <v>0</v>
      </c>
      <c r="O238" s="48">
        <v>1</v>
      </c>
      <c r="P238" s="178">
        <v>0</v>
      </c>
      <c r="Q238" s="70">
        <v>-1</v>
      </c>
      <c r="R238" s="70">
        <v>0</v>
      </c>
      <c r="S238" s="97" t="str">
        <f t="shared" si="158"/>
        <v xml:space="preserve">CntrlFurnace   </v>
      </c>
      <c r="T238" s="54" t="s">
        <v>141</v>
      </c>
      <c r="U238" s="92">
        <f t="shared" ref="U238" si="161">IF(AND(ISNUMBER(F238), F238&gt;0), 1, 0)</f>
        <v>1</v>
      </c>
      <c r="V238" s="6">
        <f t="shared" si="152"/>
        <v>0</v>
      </c>
      <c r="W238" s="6">
        <f t="shared" si="153"/>
        <v>0</v>
      </c>
      <c r="X238" s="6">
        <f t="shared" ref="X238" si="162">IF(AND(ISNUMBER(J238), J238&gt;0), 1, 0)</f>
        <v>0</v>
      </c>
      <c r="Y238" s="48">
        <v>1</v>
      </c>
      <c r="Z238" s="61" t="s">
        <v>0</v>
      </c>
      <c r="AA238" s="54" t="s">
        <v>678</v>
      </c>
      <c r="AC238" t="s">
        <v>695</v>
      </c>
    </row>
    <row r="239" spans="1:29" x14ac:dyDescent="0.25">
      <c r="C239" s="61">
        <f t="shared" ref="C239:D239" si="163">C238</f>
        <v>2019</v>
      </c>
      <c r="D239" s="6">
        <f t="shared" si="163"/>
        <v>2020</v>
      </c>
      <c r="E239" t="s">
        <v>384</v>
      </c>
      <c r="F239" s="63">
        <v>57</v>
      </c>
      <c r="G239" s="66" t="s">
        <v>155</v>
      </c>
      <c r="H239" s="66" t="s">
        <v>189</v>
      </c>
      <c r="I239" s="66" t="s">
        <v>189</v>
      </c>
      <c r="J239" s="66" t="s">
        <v>188</v>
      </c>
      <c r="K239" s="72">
        <f>K214</f>
        <v>1</v>
      </c>
      <c r="L239" s="61">
        <f t="shared" ref="L239:T239" si="164">L214</f>
        <v>0</v>
      </c>
      <c r="M239" s="61">
        <f t="shared" si="164"/>
        <v>0</v>
      </c>
      <c r="N239" s="61">
        <f t="shared" si="164"/>
        <v>0</v>
      </c>
      <c r="O239" s="61">
        <f t="shared" si="164"/>
        <v>1</v>
      </c>
      <c r="P239" s="105">
        <f t="shared" si="164"/>
        <v>0</v>
      </c>
      <c r="Q239" s="72">
        <f t="shared" si="164"/>
        <v>-1</v>
      </c>
      <c r="R239" s="72">
        <f t="shared" si="164"/>
        <v>0</v>
      </c>
      <c r="S239" s="75" t="str">
        <f t="shared" si="158"/>
        <v xml:space="preserve">CntrlFurnace   </v>
      </c>
      <c r="T239" s="62" t="str">
        <f t="shared" si="164"/>
        <v xml:space="preserve">CntrlFurnace   </v>
      </c>
      <c r="U239" s="92">
        <f t="shared" si="151"/>
        <v>1</v>
      </c>
      <c r="V239" s="6">
        <f t="shared" si="152"/>
        <v>0</v>
      </c>
      <c r="W239" s="6">
        <f t="shared" si="153"/>
        <v>0</v>
      </c>
      <c r="X239" s="6">
        <f t="shared" si="154"/>
        <v>0</v>
      </c>
      <c r="Y239" s="48">
        <v>0</v>
      </c>
      <c r="Z239" s="61" t="s">
        <v>0</v>
      </c>
      <c r="AA239" s="62" t="str">
        <f>AA214</f>
        <v xml:space="preserve">Heater - Non-central fuel-fired space heater                      </v>
      </c>
    </row>
    <row r="240" spans="1:29" x14ac:dyDescent="0.25">
      <c r="C240" s="61">
        <f t="shared" si="156"/>
        <v>2019</v>
      </c>
      <c r="D240" s="6">
        <f t="shared" si="156"/>
        <v>2020</v>
      </c>
      <c r="E240" t="s">
        <v>142</v>
      </c>
      <c r="F240" s="51">
        <v>80</v>
      </c>
      <c r="G240" s="66" t="s">
        <v>155</v>
      </c>
      <c r="H240" s="66" t="s">
        <v>189</v>
      </c>
      <c r="I240" s="66" t="s">
        <v>189</v>
      </c>
      <c r="J240" s="66" t="s">
        <v>188</v>
      </c>
      <c r="K240" s="72">
        <f>K215</f>
        <v>1</v>
      </c>
      <c r="L240" s="61">
        <f t="shared" ref="L240:T240" si="165">L215</f>
        <v>-1</v>
      </c>
      <c r="M240" s="61">
        <f t="shared" si="165"/>
        <v>0</v>
      </c>
      <c r="N240" s="61">
        <f t="shared" si="165"/>
        <v>0</v>
      </c>
      <c r="O240" s="61">
        <f t="shared" si="165"/>
        <v>1</v>
      </c>
      <c r="P240" s="105">
        <f t="shared" si="165"/>
        <v>0</v>
      </c>
      <c r="Q240" s="72">
        <f t="shared" si="165"/>
        <v>-1</v>
      </c>
      <c r="R240" s="72">
        <f t="shared" si="165"/>
        <v>0</v>
      </c>
      <c r="S240" s="75" t="str">
        <f t="shared" si="165"/>
        <v xml:space="preserve">CntrlFurnace   </v>
      </c>
      <c r="T240" s="62" t="str">
        <f t="shared" si="165"/>
        <v xml:space="preserve">CntrlFurnace   </v>
      </c>
      <c r="U240" s="92">
        <f t="shared" si="151"/>
        <v>1</v>
      </c>
      <c r="V240" s="6">
        <f t="shared" si="152"/>
        <v>0</v>
      </c>
      <c r="W240" s="6">
        <f t="shared" si="153"/>
        <v>0</v>
      </c>
      <c r="X240" s="6">
        <f t="shared" si="154"/>
        <v>0</v>
      </c>
      <c r="Y240" s="48">
        <v>1</v>
      </c>
      <c r="Z240" s="61" t="s">
        <v>0</v>
      </c>
      <c r="AA240" s="62" t="str">
        <f>AA215</f>
        <v xml:space="preserve">Boiler - Gas or oil boiler                                        </v>
      </c>
    </row>
    <row r="241" spans="3:29" x14ac:dyDescent="0.25">
      <c r="C241" s="61">
        <f t="shared" si="156"/>
        <v>2019</v>
      </c>
      <c r="D241" s="6">
        <f t="shared" si="156"/>
        <v>2020</v>
      </c>
      <c r="E241" t="s">
        <v>521</v>
      </c>
      <c r="F241" s="67" t="s">
        <v>154</v>
      </c>
      <c r="G241" s="66" t="s">
        <v>155</v>
      </c>
      <c r="H241" s="66" t="s">
        <v>189</v>
      </c>
      <c r="I241" s="66" t="s">
        <v>189</v>
      </c>
      <c r="J241" s="66" t="s">
        <v>188</v>
      </c>
      <c r="K241" s="72">
        <f>K216</f>
        <v>1</v>
      </c>
      <c r="L241" s="61">
        <f t="shared" ref="L241:T241" si="166">L216</f>
        <v>0</v>
      </c>
      <c r="M241" s="61">
        <f t="shared" si="166"/>
        <v>0</v>
      </c>
      <c r="N241" s="61">
        <f t="shared" si="166"/>
        <v>0</v>
      </c>
      <c r="O241" s="61">
        <f t="shared" si="166"/>
        <v>0</v>
      </c>
      <c r="P241" s="105">
        <f t="shared" si="166"/>
        <v>0</v>
      </c>
      <c r="Q241" s="72">
        <f t="shared" si="166"/>
        <v>-1</v>
      </c>
      <c r="R241" s="72">
        <f t="shared" si="166"/>
        <v>1</v>
      </c>
      <c r="S241" s="75" t="str">
        <f t="shared" si="166"/>
        <v xml:space="preserve">CntrlFurnace   </v>
      </c>
      <c r="T241" s="62" t="str">
        <f t="shared" si="166"/>
        <v xml:space="preserve">CntrlFurnace   </v>
      </c>
      <c r="U241" s="92">
        <f t="shared" si="151"/>
        <v>0</v>
      </c>
      <c r="V241" s="6">
        <f t="shared" si="152"/>
        <v>0</v>
      </c>
      <c r="W241" s="6">
        <f t="shared" si="153"/>
        <v>0</v>
      </c>
      <c r="X241" s="6">
        <f t="shared" si="154"/>
        <v>0</v>
      </c>
      <c r="Y241" s="48">
        <v>0</v>
      </c>
      <c r="Z241" s="61" t="s">
        <v>0</v>
      </c>
      <c r="AA241" s="62" t="str">
        <f>AA216</f>
        <v>WoodHeat - Wood heat meeting exceptional method criteria</v>
      </c>
      <c r="AC241" t="s">
        <v>524</v>
      </c>
    </row>
    <row r="242" spans="3:29" x14ac:dyDescent="0.25">
      <c r="C242" s="61">
        <f t="shared" si="156"/>
        <v>2019</v>
      </c>
      <c r="D242" s="6">
        <f t="shared" si="156"/>
        <v>2020</v>
      </c>
      <c r="E242" t="s">
        <v>143</v>
      </c>
      <c r="F242" s="67" t="s">
        <v>154</v>
      </c>
      <c r="G242" s="10">
        <v>8.1999999999999993</v>
      </c>
      <c r="H242" s="191">
        <v>7.5</v>
      </c>
      <c r="I242" s="189">
        <v>0.85</v>
      </c>
      <c r="J242" s="66" t="s">
        <v>188</v>
      </c>
      <c r="K242" s="72">
        <f>K217</f>
        <v>1</v>
      </c>
      <c r="L242" s="61">
        <f t="shared" ref="L242:S242" si="167">L217</f>
        <v>1</v>
      </c>
      <c r="M242" s="61">
        <f t="shared" si="167"/>
        <v>1</v>
      </c>
      <c r="N242" s="61">
        <f t="shared" si="167"/>
        <v>1</v>
      </c>
      <c r="O242" s="61">
        <f t="shared" si="167"/>
        <v>0</v>
      </c>
      <c r="P242" s="105">
        <f t="shared" si="167"/>
        <v>0</v>
      </c>
      <c r="Q242" s="72">
        <f t="shared" si="167"/>
        <v>68</v>
      </c>
      <c r="R242" s="72">
        <f t="shared" si="167"/>
        <v>0</v>
      </c>
      <c r="S242" s="75" t="str">
        <f t="shared" si="167"/>
        <v xml:space="preserve">SplitHeatPump  </v>
      </c>
      <c r="T242" s="62" t="str">
        <f>S242</f>
        <v xml:space="preserve">SplitHeatPump  </v>
      </c>
      <c r="U242" s="92">
        <f t="shared" si="151"/>
        <v>0</v>
      </c>
      <c r="V242" s="6">
        <f t="shared" si="152"/>
        <v>1</v>
      </c>
      <c r="W242" s="6">
        <f t="shared" si="153"/>
        <v>1</v>
      </c>
      <c r="X242" s="6">
        <f t="shared" si="154"/>
        <v>0</v>
      </c>
      <c r="Y242" s="48">
        <v>1</v>
      </c>
      <c r="Z242" s="61" t="s">
        <v>0</v>
      </c>
      <c r="AA242" s="62" t="str">
        <f>AA217</f>
        <v xml:space="preserve">SplitHeatPump - Heating side of central split heat pump           </v>
      </c>
    </row>
    <row r="243" spans="3:29" x14ac:dyDescent="0.25">
      <c r="C243" s="61">
        <f t="shared" ref="C243:D243" si="168">C242</f>
        <v>2019</v>
      </c>
      <c r="D243" s="6">
        <f t="shared" si="168"/>
        <v>2020</v>
      </c>
      <c r="E243" s="176" t="s">
        <v>682</v>
      </c>
      <c r="F243" s="67" t="s">
        <v>154</v>
      </c>
      <c r="G243" s="66" t="s">
        <v>155</v>
      </c>
      <c r="H243" s="66" t="s">
        <v>189</v>
      </c>
      <c r="I243" s="66" t="s">
        <v>189</v>
      </c>
      <c r="J243" s="179">
        <v>2.9</v>
      </c>
      <c r="K243" s="70">
        <v>1</v>
      </c>
      <c r="L243" s="48">
        <v>0</v>
      </c>
      <c r="M243" s="48">
        <v>1</v>
      </c>
      <c r="N243" s="48">
        <v>1</v>
      </c>
      <c r="O243" s="48">
        <v>0</v>
      </c>
      <c r="P243" s="178">
        <v>0</v>
      </c>
      <c r="Q243" s="70">
        <v>68</v>
      </c>
      <c r="R243" s="70">
        <v>0</v>
      </c>
      <c r="S243" s="97" t="s">
        <v>143</v>
      </c>
      <c r="T243" s="54" t="s">
        <v>143</v>
      </c>
      <c r="U243" s="92">
        <f t="shared" ref="U243:U244" si="169">IF(AND(ISNUMBER(F243), F243&gt;0), 1, 0)</f>
        <v>0</v>
      </c>
      <c r="V243" s="6">
        <f t="shared" ref="V243:V244" si="170">IF(AND(ISNUMBER(G243), G243&gt;0), 1, 0)</f>
        <v>0</v>
      </c>
      <c r="W243" s="6">
        <f t="shared" si="153"/>
        <v>0</v>
      </c>
      <c r="X243" s="6">
        <f t="shared" ref="X243:X244" si="171">IF(AND(ISNUMBER(J243), J243&gt;0), 1, 0)</f>
        <v>1</v>
      </c>
      <c r="Y243" s="48">
        <v>1</v>
      </c>
      <c r="Z243" s="61" t="s">
        <v>0</v>
      </c>
      <c r="AA243" s="54" t="s">
        <v>684</v>
      </c>
      <c r="AC243" t="s">
        <v>693</v>
      </c>
    </row>
    <row r="244" spans="3:29" x14ac:dyDescent="0.25">
      <c r="C244" s="61">
        <f t="shared" ref="C244:D244" si="172">C243</f>
        <v>2019</v>
      </c>
      <c r="D244" s="6">
        <f t="shared" si="172"/>
        <v>2020</v>
      </c>
      <c r="E244" s="176" t="s">
        <v>683</v>
      </c>
      <c r="F244" s="67" t="s">
        <v>154</v>
      </c>
      <c r="G244" s="66" t="s">
        <v>155</v>
      </c>
      <c r="H244" s="66" t="s">
        <v>189</v>
      </c>
      <c r="I244" s="66" t="s">
        <v>189</v>
      </c>
      <c r="J244" s="179">
        <v>3.3</v>
      </c>
      <c r="K244" s="70">
        <v>1</v>
      </c>
      <c r="L244" s="48">
        <v>1</v>
      </c>
      <c r="M244" s="48">
        <v>1</v>
      </c>
      <c r="N244" s="48">
        <v>1</v>
      </c>
      <c r="O244" s="48">
        <v>0</v>
      </c>
      <c r="P244" s="178">
        <v>0</v>
      </c>
      <c r="Q244" s="70">
        <v>68</v>
      </c>
      <c r="R244" s="70">
        <v>0</v>
      </c>
      <c r="S244" s="97" t="s">
        <v>143</v>
      </c>
      <c r="T244" s="54" t="s">
        <v>143</v>
      </c>
      <c r="U244" s="92">
        <f t="shared" si="169"/>
        <v>0</v>
      </c>
      <c r="V244" s="6">
        <f t="shared" si="170"/>
        <v>0</v>
      </c>
      <c r="W244" s="6">
        <f t="shared" si="153"/>
        <v>0</v>
      </c>
      <c r="X244" s="6">
        <f t="shared" si="171"/>
        <v>1</v>
      </c>
      <c r="Y244" s="48">
        <v>1</v>
      </c>
      <c r="Z244" s="61" t="s">
        <v>0</v>
      </c>
      <c r="AA244" s="54" t="s">
        <v>685</v>
      </c>
      <c r="AC244" t="s">
        <v>694</v>
      </c>
    </row>
    <row r="245" spans="3:29" x14ac:dyDescent="0.25">
      <c r="C245" s="61">
        <f t="shared" ref="C245:D245" si="173">C244</f>
        <v>2019</v>
      </c>
      <c r="D245" s="6">
        <f t="shared" si="173"/>
        <v>2020</v>
      </c>
      <c r="E245" t="s">
        <v>511</v>
      </c>
      <c r="F245" s="67" t="s">
        <v>154</v>
      </c>
      <c r="G245" s="10">
        <v>7.2</v>
      </c>
      <c r="H245" s="191">
        <v>6.1</v>
      </c>
      <c r="I245" s="189">
        <v>0.85</v>
      </c>
      <c r="J245" s="66" t="s">
        <v>188</v>
      </c>
      <c r="K245" s="72">
        <f>K218</f>
        <v>1</v>
      </c>
      <c r="L245" s="61">
        <f t="shared" ref="L245:S245" si="174">L218</f>
        <v>1</v>
      </c>
      <c r="M245" s="61">
        <f t="shared" si="174"/>
        <v>1</v>
      </c>
      <c r="N245" s="61">
        <f t="shared" si="174"/>
        <v>1</v>
      </c>
      <c r="O245" s="61">
        <f t="shared" si="174"/>
        <v>0</v>
      </c>
      <c r="P245" s="105">
        <f t="shared" si="174"/>
        <v>0</v>
      </c>
      <c r="Q245" s="72">
        <f t="shared" si="174"/>
        <v>68</v>
      </c>
      <c r="R245" s="72">
        <f t="shared" si="174"/>
        <v>0</v>
      </c>
      <c r="S245" s="75" t="str">
        <f t="shared" si="174"/>
        <v xml:space="preserve">SplitHeatPump  </v>
      </c>
      <c r="T245" s="62" t="str">
        <f>S245</f>
        <v xml:space="preserve">SplitHeatPump  </v>
      </c>
      <c r="U245" s="92">
        <f t="shared" si="151"/>
        <v>0</v>
      </c>
      <c r="V245" s="6">
        <f t="shared" ref="V245:V260" si="175">IF(AND(ISNUMBER(G245), G245&gt;0), 1, 0)</f>
        <v>1</v>
      </c>
      <c r="W245" s="6">
        <f t="shared" si="153"/>
        <v>1</v>
      </c>
      <c r="X245" s="6">
        <f t="shared" si="154"/>
        <v>0</v>
      </c>
      <c r="Y245" s="48">
        <v>1</v>
      </c>
      <c r="Z245" s="61" t="s">
        <v>0</v>
      </c>
      <c r="AA245" s="62" t="str">
        <f>AA218</f>
        <v xml:space="preserve">SDHVSplitHeatPump - Small duct, high velocity, central split heat pump           </v>
      </c>
    </row>
    <row r="246" spans="3:29" x14ac:dyDescent="0.25">
      <c r="C246" s="61">
        <f t="shared" si="156"/>
        <v>2019</v>
      </c>
      <c r="D246" s="6">
        <f t="shared" si="156"/>
        <v>2020</v>
      </c>
      <c r="E246" t="s">
        <v>530</v>
      </c>
      <c r="F246" s="67" t="s">
        <v>154</v>
      </c>
      <c r="G246" s="10">
        <v>8.1999999999999993</v>
      </c>
      <c r="H246" s="191">
        <v>7.5</v>
      </c>
      <c r="I246" s="189">
        <v>0.85</v>
      </c>
      <c r="J246" s="66" t="s">
        <v>188</v>
      </c>
      <c r="K246" s="72">
        <f>K219</f>
        <v>1</v>
      </c>
      <c r="L246" s="61">
        <f t="shared" ref="L246:T246" si="176">L219</f>
        <v>0</v>
      </c>
      <c r="M246" s="61">
        <f t="shared" si="176"/>
        <v>1</v>
      </c>
      <c r="N246" s="61">
        <f t="shared" si="176"/>
        <v>1</v>
      </c>
      <c r="O246" s="61">
        <f t="shared" si="176"/>
        <v>0</v>
      </c>
      <c r="P246" s="105">
        <f t="shared" si="176"/>
        <v>0</v>
      </c>
      <c r="Q246" s="72">
        <f t="shared" si="176"/>
        <v>68</v>
      </c>
      <c r="R246" s="72">
        <f t="shared" si="176"/>
        <v>1</v>
      </c>
      <c r="S246" s="75" t="str">
        <f t="shared" ref="S246:S248" si="177">T246</f>
        <v xml:space="preserve">SplitHeatPump  </v>
      </c>
      <c r="T246" s="62" t="str">
        <f t="shared" si="176"/>
        <v xml:space="preserve">SplitHeatPump  </v>
      </c>
      <c r="U246" s="92">
        <f t="shared" si="151"/>
        <v>0</v>
      </c>
      <c r="V246" s="6">
        <f t="shared" si="175"/>
        <v>1</v>
      </c>
      <c r="W246" s="6">
        <f t="shared" si="153"/>
        <v>1</v>
      </c>
      <c r="X246" s="6">
        <f t="shared" si="154"/>
        <v>0</v>
      </c>
      <c r="Y246" s="48">
        <v>1</v>
      </c>
      <c r="Z246" s="61" t="s">
        <v>0</v>
      </c>
      <c r="AA246" s="62" t="str">
        <f>AA219</f>
        <v>DuctlessMiniSplitHeatPump – Ductless mini-split heat pump system</v>
      </c>
      <c r="AC246" t="s">
        <v>525</v>
      </c>
    </row>
    <row r="247" spans="3:29" x14ac:dyDescent="0.25">
      <c r="C247" s="61">
        <f t="shared" si="156"/>
        <v>2019</v>
      </c>
      <c r="D247" s="6">
        <f t="shared" si="156"/>
        <v>2020</v>
      </c>
      <c r="E247" t="s">
        <v>531</v>
      </c>
      <c r="F247" s="67" t="s">
        <v>154</v>
      </c>
      <c r="G247" s="10">
        <v>8.1999999999999993</v>
      </c>
      <c r="H247" s="191">
        <v>7.5</v>
      </c>
      <c r="I247" s="189">
        <v>0.85</v>
      </c>
      <c r="J247" s="66" t="s">
        <v>188</v>
      </c>
      <c r="K247" s="72">
        <f>K220</f>
        <v>1</v>
      </c>
      <c r="L247" s="61">
        <f t="shared" ref="L247:T247" si="178">L220</f>
        <v>0</v>
      </c>
      <c r="M247" s="61">
        <f t="shared" si="178"/>
        <v>1</v>
      </c>
      <c r="N247" s="61">
        <f t="shared" si="178"/>
        <v>1</v>
      </c>
      <c r="O247" s="61">
        <f t="shared" si="178"/>
        <v>0</v>
      </c>
      <c r="P247" s="61">
        <f t="shared" si="178"/>
        <v>0</v>
      </c>
      <c r="Q247" s="96">
        <f t="shared" si="178"/>
        <v>68</v>
      </c>
      <c r="R247" s="72">
        <f t="shared" si="178"/>
        <v>1</v>
      </c>
      <c r="S247" s="75" t="str">
        <f t="shared" si="177"/>
        <v xml:space="preserve">SplitHeatPump  </v>
      </c>
      <c r="T247" s="62" t="str">
        <f t="shared" si="178"/>
        <v xml:space="preserve">SplitHeatPump  </v>
      </c>
      <c r="U247" s="72">
        <f t="shared" si="151"/>
        <v>0</v>
      </c>
      <c r="V247" s="61">
        <f t="shared" si="175"/>
        <v>1</v>
      </c>
      <c r="W247" s="61">
        <f t="shared" si="153"/>
        <v>1</v>
      </c>
      <c r="X247" s="61">
        <f t="shared" si="154"/>
        <v>0</v>
      </c>
      <c r="Y247" s="48">
        <v>1</v>
      </c>
      <c r="Z247" s="61" t="s">
        <v>0</v>
      </c>
      <c r="AA247" s="62" t="str">
        <f>AA220</f>
        <v>DuctlessMultiSplitHeatPump - Ductless multi-split heat pump system</v>
      </c>
      <c r="AC247" t="s">
        <v>524</v>
      </c>
    </row>
    <row r="248" spans="3:29" x14ac:dyDescent="0.25">
      <c r="C248" s="61">
        <f t="shared" si="156"/>
        <v>2019</v>
      </c>
      <c r="D248" s="6">
        <f t="shared" si="156"/>
        <v>2020</v>
      </c>
      <c r="E248" t="s">
        <v>520</v>
      </c>
      <c r="F248" s="67" t="s">
        <v>154</v>
      </c>
      <c r="G248" s="10">
        <v>7.7</v>
      </c>
      <c r="H248" s="190">
        <f>G248*0.85</f>
        <v>6.5449999999999999</v>
      </c>
      <c r="I248" s="189">
        <v>0.85</v>
      </c>
      <c r="J248" s="66" t="s">
        <v>188</v>
      </c>
      <c r="K248" s="72">
        <f>K221</f>
        <v>1</v>
      </c>
      <c r="L248" s="61">
        <f t="shared" ref="L248:T248" si="179">L221</f>
        <v>0</v>
      </c>
      <c r="M248" s="61">
        <f t="shared" si="179"/>
        <v>1</v>
      </c>
      <c r="N248" s="61">
        <f t="shared" si="179"/>
        <v>1</v>
      </c>
      <c r="O248" s="61">
        <f t="shared" si="179"/>
        <v>0</v>
      </c>
      <c r="P248" s="61">
        <f t="shared" si="179"/>
        <v>0</v>
      </c>
      <c r="Q248" s="96">
        <f t="shared" si="179"/>
        <v>68</v>
      </c>
      <c r="R248" s="72">
        <f t="shared" si="179"/>
        <v>1</v>
      </c>
      <c r="S248" s="75" t="str">
        <f t="shared" si="177"/>
        <v xml:space="preserve">SplitHeatPump  </v>
      </c>
      <c r="T248" s="62" t="str">
        <f t="shared" si="179"/>
        <v xml:space="preserve">SplitHeatPump  </v>
      </c>
      <c r="U248" s="72">
        <f t="shared" si="151"/>
        <v>0</v>
      </c>
      <c r="V248" s="61">
        <f t="shared" si="175"/>
        <v>1</v>
      </c>
      <c r="W248" s="61">
        <f t="shared" si="153"/>
        <v>1</v>
      </c>
      <c r="X248" s="61">
        <f t="shared" si="154"/>
        <v>0</v>
      </c>
      <c r="Y248" s="48">
        <v>1</v>
      </c>
      <c r="Z248" s="61" t="s">
        <v>0</v>
      </c>
      <c r="AA248" s="62" t="str">
        <f>AA221</f>
        <v>DuctlessVRFHeatPump - Ductless variable refrigerant flow (VRF) heat pump system</v>
      </c>
      <c r="AC248" t="s">
        <v>524</v>
      </c>
    </row>
    <row r="249" spans="3:29" x14ac:dyDescent="0.25">
      <c r="C249" s="61">
        <f t="shared" ref="C249:D249" si="180">C248</f>
        <v>2019</v>
      </c>
      <c r="D249" s="6">
        <f t="shared" si="180"/>
        <v>2020</v>
      </c>
      <c r="E249" s="176" t="s">
        <v>686</v>
      </c>
      <c r="F249" s="67" t="s">
        <v>154</v>
      </c>
      <c r="G249" s="184">
        <v>8.1999999999999993</v>
      </c>
      <c r="H249" s="191">
        <v>7.5</v>
      </c>
      <c r="I249" s="189">
        <v>0.85</v>
      </c>
      <c r="J249" s="66" t="s">
        <v>188</v>
      </c>
      <c r="K249" s="70">
        <v>1</v>
      </c>
      <c r="L249" s="48">
        <v>1</v>
      </c>
      <c r="M249" s="48">
        <v>1</v>
      </c>
      <c r="N249" s="48">
        <v>1</v>
      </c>
      <c r="O249" s="48">
        <v>0</v>
      </c>
      <c r="P249" s="48">
        <v>0</v>
      </c>
      <c r="Q249" s="181">
        <v>68</v>
      </c>
      <c r="R249" s="70">
        <v>1</v>
      </c>
      <c r="S249" s="97" t="s">
        <v>143</v>
      </c>
      <c r="T249" s="54" t="str">
        <f t="shared" ref="T249:T253" si="181">S249</f>
        <v xml:space="preserve">SplitHeatPump  </v>
      </c>
      <c r="U249" s="92">
        <f t="shared" si="151"/>
        <v>0</v>
      </c>
      <c r="V249" s="6">
        <f t="shared" si="175"/>
        <v>1</v>
      </c>
      <c r="W249" s="6">
        <f t="shared" si="153"/>
        <v>1</v>
      </c>
      <c r="X249" s="6">
        <f t="shared" si="154"/>
        <v>0</v>
      </c>
      <c r="Y249" s="48">
        <v>1</v>
      </c>
      <c r="Z249" s="61" t="s">
        <v>0</v>
      </c>
      <c r="AA249" s="54" t="s">
        <v>689</v>
      </c>
      <c r="AC249" t="s">
        <v>692</v>
      </c>
    </row>
    <row r="250" spans="3:29" x14ac:dyDescent="0.25">
      <c r="C250" s="61">
        <f t="shared" ref="C250:D250" si="182">C249</f>
        <v>2019</v>
      </c>
      <c r="D250" s="6">
        <f t="shared" si="182"/>
        <v>2020</v>
      </c>
      <c r="E250" s="176" t="s">
        <v>687</v>
      </c>
      <c r="F250" s="67" t="s">
        <v>154</v>
      </c>
      <c r="G250" s="184">
        <v>8.1999999999999993</v>
      </c>
      <c r="H250" s="191">
        <v>7.5</v>
      </c>
      <c r="I250" s="189">
        <v>0.85</v>
      </c>
      <c r="J250" s="66" t="s">
        <v>188</v>
      </c>
      <c r="K250" s="70">
        <v>1</v>
      </c>
      <c r="L250" s="48">
        <v>1</v>
      </c>
      <c r="M250" s="48">
        <v>1</v>
      </c>
      <c r="N250" s="48">
        <v>1</v>
      </c>
      <c r="O250" s="48">
        <v>0</v>
      </c>
      <c r="P250" s="48">
        <v>0</v>
      </c>
      <c r="Q250" s="181">
        <v>68</v>
      </c>
      <c r="R250" s="70">
        <v>1</v>
      </c>
      <c r="S250" s="97" t="s">
        <v>143</v>
      </c>
      <c r="T250" s="54" t="str">
        <f t="shared" si="181"/>
        <v xml:space="preserve">SplitHeatPump  </v>
      </c>
      <c r="U250" s="92">
        <f t="shared" si="151"/>
        <v>0</v>
      </c>
      <c r="V250" s="6">
        <f t="shared" si="175"/>
        <v>1</v>
      </c>
      <c r="W250" s="6">
        <f t="shared" si="153"/>
        <v>1</v>
      </c>
      <c r="X250" s="6">
        <f t="shared" si="154"/>
        <v>0</v>
      </c>
      <c r="Y250" s="48">
        <v>1</v>
      </c>
      <c r="Z250" s="61" t="s">
        <v>0</v>
      </c>
      <c r="AA250" s="54" t="s">
        <v>690</v>
      </c>
      <c r="AC250" t="s">
        <v>692</v>
      </c>
    </row>
    <row r="251" spans="3:29" x14ac:dyDescent="0.25">
      <c r="C251" s="61">
        <f t="shared" ref="C251:D251" si="183">C250</f>
        <v>2019</v>
      </c>
      <c r="D251" s="6">
        <f t="shared" si="183"/>
        <v>2020</v>
      </c>
      <c r="E251" s="176" t="s">
        <v>688</v>
      </c>
      <c r="F251" s="67" t="s">
        <v>154</v>
      </c>
      <c r="G251" s="184">
        <v>8.1999999999999993</v>
      </c>
      <c r="H251" s="191">
        <v>7.5</v>
      </c>
      <c r="I251" s="189">
        <v>0.85</v>
      </c>
      <c r="J251" s="66" t="s">
        <v>188</v>
      </c>
      <c r="K251" s="70">
        <v>1</v>
      </c>
      <c r="L251" s="48">
        <v>1</v>
      </c>
      <c r="M251" s="48">
        <v>1</v>
      </c>
      <c r="N251" s="48">
        <v>1</v>
      </c>
      <c r="O251" s="48">
        <v>0</v>
      </c>
      <c r="P251" s="48">
        <v>0</v>
      </c>
      <c r="Q251" s="181">
        <v>68</v>
      </c>
      <c r="R251" s="70">
        <v>1</v>
      </c>
      <c r="S251" s="97" t="s">
        <v>143</v>
      </c>
      <c r="T251" s="54" t="str">
        <f t="shared" si="181"/>
        <v xml:space="preserve">SplitHeatPump  </v>
      </c>
      <c r="U251" s="92">
        <f t="shared" si="151"/>
        <v>0</v>
      </c>
      <c r="V251" s="6">
        <f t="shared" si="175"/>
        <v>1</v>
      </c>
      <c r="W251" s="6">
        <f t="shared" si="153"/>
        <v>1</v>
      </c>
      <c r="X251" s="6">
        <f t="shared" si="154"/>
        <v>0</v>
      </c>
      <c r="Y251" s="48">
        <v>1</v>
      </c>
      <c r="Z251" s="61" t="s">
        <v>0</v>
      </c>
      <c r="AA251" s="54" t="s">
        <v>691</v>
      </c>
      <c r="AC251" t="s">
        <v>692</v>
      </c>
    </row>
    <row r="252" spans="3:29" x14ac:dyDescent="0.25">
      <c r="C252" s="61">
        <f t="shared" ref="C252:D252" si="184">C251</f>
        <v>2019</v>
      </c>
      <c r="D252" s="6">
        <f t="shared" si="184"/>
        <v>2020</v>
      </c>
      <c r="E252" t="s">
        <v>144</v>
      </c>
      <c r="F252" s="67" t="s">
        <v>154</v>
      </c>
      <c r="G252" s="55">
        <v>8</v>
      </c>
      <c r="H252" s="192">
        <v>6.7</v>
      </c>
      <c r="I252" s="190">
        <v>0.84</v>
      </c>
      <c r="J252" s="66" t="s">
        <v>188</v>
      </c>
      <c r="K252" s="72">
        <f t="shared" ref="K252:K262" si="185">K222</f>
        <v>1</v>
      </c>
      <c r="L252" s="61">
        <f t="shared" ref="L252:S252" si="186">L222</f>
        <v>1</v>
      </c>
      <c r="M252" s="61">
        <f t="shared" si="186"/>
        <v>1</v>
      </c>
      <c r="N252" s="61">
        <f t="shared" si="186"/>
        <v>1</v>
      </c>
      <c r="O252" s="61">
        <f t="shared" si="186"/>
        <v>0</v>
      </c>
      <c r="P252" s="61">
        <f t="shared" si="186"/>
        <v>0</v>
      </c>
      <c r="Q252" s="96">
        <f t="shared" si="186"/>
        <v>68</v>
      </c>
      <c r="R252" s="96">
        <f t="shared" si="186"/>
        <v>0</v>
      </c>
      <c r="S252" s="75" t="str">
        <f t="shared" si="186"/>
        <v xml:space="preserve">SplitHeatPump  </v>
      </c>
      <c r="T252" s="62" t="str">
        <f t="shared" si="181"/>
        <v xml:space="preserve">SplitHeatPump  </v>
      </c>
      <c r="U252" s="92">
        <f t="shared" si="151"/>
        <v>0</v>
      </c>
      <c r="V252" s="6">
        <f t="shared" si="175"/>
        <v>1</v>
      </c>
      <c r="W252" s="6">
        <f t="shared" si="153"/>
        <v>1</v>
      </c>
      <c r="X252" s="6">
        <f t="shared" si="154"/>
        <v>0</v>
      </c>
      <c r="Y252" s="48">
        <v>1</v>
      </c>
      <c r="Z252" s="61" t="s">
        <v>0</v>
      </c>
      <c r="AA252" s="62" t="str">
        <f t="shared" ref="AA252:AA262" si="187">AA222</f>
        <v xml:space="preserve">PkgHeatPump - Heating side of central packaged heat pump          </v>
      </c>
    </row>
    <row r="253" spans="3:29" x14ac:dyDescent="0.25">
      <c r="C253" s="61">
        <f t="shared" si="156"/>
        <v>2019</v>
      </c>
      <c r="D253" s="6">
        <f t="shared" si="156"/>
        <v>2020</v>
      </c>
      <c r="E253" t="s">
        <v>145</v>
      </c>
      <c r="F253" s="67" t="s">
        <v>154</v>
      </c>
      <c r="G253" s="11">
        <v>0</v>
      </c>
      <c r="H253" s="11">
        <v>0</v>
      </c>
      <c r="I253" s="11">
        <v>1</v>
      </c>
      <c r="J253" s="66" t="s">
        <v>188</v>
      </c>
      <c r="K253" s="72">
        <f t="shared" si="185"/>
        <v>0</v>
      </c>
      <c r="L253" s="61">
        <f t="shared" ref="L253:S253" si="188">L223</f>
        <v>1</v>
      </c>
      <c r="M253" s="61">
        <f t="shared" si="188"/>
        <v>1</v>
      </c>
      <c r="N253" s="61">
        <f t="shared" si="188"/>
        <v>1</v>
      </c>
      <c r="O253" s="61">
        <f t="shared" si="188"/>
        <v>0</v>
      </c>
      <c r="P253" s="61">
        <f t="shared" si="188"/>
        <v>0</v>
      </c>
      <c r="Q253" s="96">
        <f t="shared" si="188"/>
        <v>68</v>
      </c>
      <c r="R253" s="96">
        <f t="shared" si="188"/>
        <v>0</v>
      </c>
      <c r="S253" s="75" t="str">
        <f t="shared" si="188"/>
        <v xml:space="preserve">SplitHeatPump  </v>
      </c>
      <c r="T253" s="62" t="str">
        <f t="shared" si="181"/>
        <v xml:space="preserve">SplitHeatPump  </v>
      </c>
      <c r="U253" s="92">
        <f t="shared" si="151"/>
        <v>0</v>
      </c>
      <c r="V253" s="6">
        <f t="shared" si="175"/>
        <v>0</v>
      </c>
      <c r="W253" s="6">
        <f t="shared" si="153"/>
        <v>0</v>
      </c>
      <c r="X253" s="6">
        <f t="shared" si="154"/>
        <v>0</v>
      </c>
      <c r="Y253" s="48">
        <v>1</v>
      </c>
      <c r="Z253" s="61" t="s">
        <v>0</v>
      </c>
      <c r="AA253" s="62" t="str">
        <f t="shared" si="187"/>
        <v>LrgPkgHeatPump - Heating side of large (&gt;= 65 kBtuh) packaged unit</v>
      </c>
    </row>
    <row r="254" spans="3:29" x14ac:dyDescent="0.25">
      <c r="C254" s="61">
        <f t="shared" si="156"/>
        <v>2019</v>
      </c>
      <c r="D254" s="6">
        <f t="shared" si="156"/>
        <v>2020</v>
      </c>
      <c r="E254" t="s">
        <v>146</v>
      </c>
      <c r="F254" s="67" t="s">
        <v>154</v>
      </c>
      <c r="G254" s="66" t="s">
        <v>155</v>
      </c>
      <c r="H254" s="66" t="s">
        <v>189</v>
      </c>
      <c r="I254" s="66" t="s">
        <v>189</v>
      </c>
      <c r="J254" s="66" t="s">
        <v>188</v>
      </c>
      <c r="K254" s="72">
        <f t="shared" si="185"/>
        <v>1</v>
      </c>
      <c r="L254" s="61">
        <f t="shared" ref="L254:T254" si="189">L224</f>
        <v>0</v>
      </c>
      <c r="M254" s="61">
        <f t="shared" si="189"/>
        <v>1</v>
      </c>
      <c r="N254" s="61">
        <f t="shared" si="189"/>
        <v>1</v>
      </c>
      <c r="O254" s="61">
        <f t="shared" si="189"/>
        <v>0</v>
      </c>
      <c r="P254" s="61">
        <f t="shared" si="189"/>
        <v>0</v>
      </c>
      <c r="Q254" s="96">
        <f t="shared" si="189"/>
        <v>68</v>
      </c>
      <c r="R254" s="96">
        <f t="shared" si="189"/>
        <v>1</v>
      </c>
      <c r="S254" s="75" t="str">
        <f>T254</f>
        <v xml:space="preserve">SplitHeatPump  </v>
      </c>
      <c r="T254" s="62" t="str">
        <f t="shared" si="189"/>
        <v xml:space="preserve">SplitHeatPump  </v>
      </c>
      <c r="U254" s="92">
        <f t="shared" si="151"/>
        <v>0</v>
      </c>
      <c r="V254" s="6">
        <f t="shared" si="175"/>
        <v>0</v>
      </c>
      <c r="W254" s="6">
        <f t="shared" si="153"/>
        <v>0</v>
      </c>
      <c r="X254" s="6">
        <f t="shared" si="154"/>
        <v>0</v>
      </c>
      <c r="Y254" s="48">
        <v>0</v>
      </c>
      <c r="Z254" s="61" t="s">
        <v>0</v>
      </c>
      <c r="AA254" s="62" t="str">
        <f t="shared" si="187"/>
        <v xml:space="preserve">RoomHeatPump - Heating side of non-central room A/C system        </v>
      </c>
    </row>
    <row r="255" spans="3:29" x14ac:dyDescent="0.25">
      <c r="C255" s="61">
        <f t="shared" si="156"/>
        <v>2019</v>
      </c>
      <c r="D255" s="6">
        <f t="shared" si="156"/>
        <v>2020</v>
      </c>
      <c r="E255" t="s">
        <v>147</v>
      </c>
      <c r="F255" s="67" t="s">
        <v>154</v>
      </c>
      <c r="G255" s="10">
        <v>8.1999999999999993</v>
      </c>
      <c r="H255" s="191">
        <v>7.5</v>
      </c>
      <c r="I255" s="189">
        <v>0.85</v>
      </c>
      <c r="J255" s="66" t="s">
        <v>188</v>
      </c>
      <c r="K255" s="72">
        <f t="shared" si="185"/>
        <v>1</v>
      </c>
      <c r="L255" s="61">
        <f t="shared" ref="L255:T255" si="190">L225</f>
        <v>-1</v>
      </c>
      <c r="M255" s="61">
        <f t="shared" si="190"/>
        <v>0</v>
      </c>
      <c r="N255" s="61">
        <f t="shared" si="190"/>
        <v>1</v>
      </c>
      <c r="O255" s="61">
        <f t="shared" si="190"/>
        <v>0</v>
      </c>
      <c r="P255" s="61">
        <f t="shared" si="190"/>
        <v>0</v>
      </c>
      <c r="Q255" s="96">
        <f t="shared" si="190"/>
        <v>-1</v>
      </c>
      <c r="R255" s="96">
        <f t="shared" si="190"/>
        <v>0</v>
      </c>
      <c r="S255" s="75" t="str">
        <f t="shared" si="190"/>
        <v xml:space="preserve">SplitHeatPump  </v>
      </c>
      <c r="T255" s="62" t="str">
        <f t="shared" si="190"/>
        <v xml:space="preserve">SplitHeatPump  </v>
      </c>
      <c r="U255" s="92">
        <f t="shared" si="151"/>
        <v>0</v>
      </c>
      <c r="V255" s="6">
        <f t="shared" si="175"/>
        <v>1</v>
      </c>
      <c r="W255" s="6">
        <f t="shared" si="153"/>
        <v>1</v>
      </c>
      <c r="X255" s="6">
        <f t="shared" si="154"/>
        <v>0</v>
      </c>
      <c r="Y255" s="48">
        <v>0</v>
      </c>
      <c r="Z255" s="61" t="s">
        <v>0</v>
      </c>
      <c r="AA255" s="62" t="str">
        <f t="shared" si="187"/>
        <v xml:space="preserve">Electric - All electric heating systems other than heat pump      </v>
      </c>
    </row>
    <row r="256" spans="3:29" x14ac:dyDescent="0.25">
      <c r="C256" s="61">
        <f t="shared" si="156"/>
        <v>2019</v>
      </c>
      <c r="D256" s="6">
        <f t="shared" si="156"/>
        <v>2020</v>
      </c>
      <c r="E256" t="s">
        <v>148</v>
      </c>
      <c r="F256" s="67" t="s">
        <v>154</v>
      </c>
      <c r="G256" s="66" t="s">
        <v>155</v>
      </c>
      <c r="H256" s="66" t="s">
        <v>189</v>
      </c>
      <c r="I256" s="66" t="s">
        <v>189</v>
      </c>
      <c r="J256" s="66" t="s">
        <v>188</v>
      </c>
      <c r="K256" s="72">
        <f t="shared" si="185"/>
        <v>1</v>
      </c>
      <c r="L256" s="61">
        <f t="shared" ref="L256:T256" si="191">L226</f>
        <v>-1</v>
      </c>
      <c r="M256" s="61">
        <f t="shared" si="191"/>
        <v>0</v>
      </c>
      <c r="N256" s="61">
        <f t="shared" si="191"/>
        <v>0</v>
      </c>
      <c r="O256" s="61">
        <f t="shared" si="191"/>
        <v>1</v>
      </c>
      <c r="P256" s="61">
        <f t="shared" si="191"/>
        <v>0</v>
      </c>
      <c r="Q256" s="96">
        <f t="shared" si="191"/>
        <v>-1</v>
      </c>
      <c r="R256" s="96">
        <f t="shared" si="191"/>
        <v>0</v>
      </c>
      <c r="S256" s="75" t="str">
        <f t="shared" si="191"/>
        <v xml:space="preserve">CntrlFurnace   </v>
      </c>
      <c r="T256" s="62" t="str">
        <f t="shared" si="191"/>
        <v xml:space="preserve">CntrlFurnace   </v>
      </c>
      <c r="U256" s="92">
        <f t="shared" si="151"/>
        <v>0</v>
      </c>
      <c r="V256" s="6">
        <f t="shared" si="175"/>
        <v>0</v>
      </c>
      <c r="W256" s="6">
        <f t="shared" si="153"/>
        <v>0</v>
      </c>
      <c r="X256" s="6">
        <f t="shared" si="154"/>
        <v>0</v>
      </c>
      <c r="Y256" s="48">
        <v>1</v>
      </c>
      <c r="Z256" s="61" t="s">
        <v>0</v>
      </c>
      <c r="AA256" s="62" t="str">
        <f t="shared" si="187"/>
        <v xml:space="preserve">CombHydro - Water heating system can be storage gas/elec/ht pump  </v>
      </c>
    </row>
    <row r="257" spans="1:29" x14ac:dyDescent="0.25">
      <c r="C257" s="61">
        <f t="shared" si="156"/>
        <v>2019</v>
      </c>
      <c r="D257" s="6">
        <f t="shared" si="156"/>
        <v>2020</v>
      </c>
      <c r="E257" t="s">
        <v>510</v>
      </c>
      <c r="F257" s="67" t="s">
        <v>154</v>
      </c>
      <c r="G257" s="66" t="s">
        <v>155</v>
      </c>
      <c r="H257" s="66" t="s">
        <v>189</v>
      </c>
      <c r="I257" s="66" t="s">
        <v>189</v>
      </c>
      <c r="J257" s="66" t="s">
        <v>188</v>
      </c>
      <c r="K257" s="72">
        <f t="shared" si="185"/>
        <v>1</v>
      </c>
      <c r="L257" s="61">
        <f t="shared" ref="L257:T257" si="192">L227</f>
        <v>-1</v>
      </c>
      <c r="M257" s="61">
        <f t="shared" si="192"/>
        <v>0</v>
      </c>
      <c r="N257" s="61">
        <f t="shared" si="192"/>
        <v>1</v>
      </c>
      <c r="O257" s="61">
        <f t="shared" si="192"/>
        <v>0</v>
      </c>
      <c r="P257" s="61">
        <f t="shared" si="192"/>
        <v>0</v>
      </c>
      <c r="Q257" s="96">
        <f t="shared" si="192"/>
        <v>-1</v>
      </c>
      <c r="R257" s="96">
        <f t="shared" si="192"/>
        <v>0</v>
      </c>
      <c r="S257" s="75" t="str">
        <f t="shared" si="192"/>
        <v xml:space="preserve">SplitHeatPump  </v>
      </c>
      <c r="T257" s="62" t="str">
        <f t="shared" si="192"/>
        <v xml:space="preserve">SplitHeatPump  </v>
      </c>
      <c r="U257" s="92">
        <f t="shared" si="151"/>
        <v>0</v>
      </c>
      <c r="V257" s="6">
        <f t="shared" si="175"/>
        <v>0</v>
      </c>
      <c r="W257" s="6">
        <f t="shared" si="153"/>
        <v>0</v>
      </c>
      <c r="X257" s="6">
        <f t="shared" si="154"/>
        <v>0</v>
      </c>
      <c r="Y257" s="48">
        <v>1</v>
      </c>
      <c r="Z257" s="61" t="s">
        <v>0</v>
      </c>
      <c r="AA257" s="62" t="str">
        <f t="shared" si="187"/>
        <v xml:space="preserve">CombHydro - Water heating system can be storage gas/elec/ht pump  </v>
      </c>
    </row>
    <row r="258" spans="1:29" x14ac:dyDescent="0.25">
      <c r="C258" s="61">
        <f t="shared" ref="C258:D262" si="193">C257</f>
        <v>2019</v>
      </c>
      <c r="D258" s="6">
        <f t="shared" si="193"/>
        <v>2020</v>
      </c>
      <c r="E258" t="s">
        <v>367</v>
      </c>
      <c r="F258" s="67" t="s">
        <v>154</v>
      </c>
      <c r="G258" s="66" t="s">
        <v>155</v>
      </c>
      <c r="H258" s="66" t="s">
        <v>189</v>
      </c>
      <c r="I258" s="66" t="s">
        <v>189</v>
      </c>
      <c r="J258" s="66" t="s">
        <v>188</v>
      </c>
      <c r="K258" s="72">
        <f t="shared" si="185"/>
        <v>1</v>
      </c>
      <c r="L258" s="61">
        <f t="shared" ref="L258:T258" si="194">L228</f>
        <v>-1</v>
      </c>
      <c r="M258" s="61">
        <f t="shared" si="194"/>
        <v>1</v>
      </c>
      <c r="N258" s="61">
        <f t="shared" si="194"/>
        <v>1</v>
      </c>
      <c r="O258" s="61">
        <f t="shared" si="194"/>
        <v>0</v>
      </c>
      <c r="P258" s="61">
        <f t="shared" si="194"/>
        <v>1</v>
      </c>
      <c r="Q258" s="96">
        <f t="shared" si="194"/>
        <v>68</v>
      </c>
      <c r="R258" s="96">
        <f t="shared" si="194"/>
        <v>0</v>
      </c>
      <c r="S258" s="75" t="str">
        <f t="shared" si="194"/>
        <v xml:space="preserve">SplitHeatPump  </v>
      </c>
      <c r="T258" s="62" t="str">
        <f t="shared" si="194"/>
        <v xml:space="preserve">SplitHeatPump  </v>
      </c>
      <c r="U258" s="92">
        <f t="shared" si="151"/>
        <v>0</v>
      </c>
      <c r="V258" s="6">
        <f t="shared" si="175"/>
        <v>0</v>
      </c>
      <c r="W258" s="6">
        <f t="shared" si="153"/>
        <v>0</v>
      </c>
      <c r="X258" s="6">
        <f t="shared" si="154"/>
        <v>0</v>
      </c>
      <c r="Y258" s="48">
        <v>1</v>
      </c>
      <c r="Z258" s="61" t="s">
        <v>0</v>
      </c>
      <c r="AA258" s="62" t="str">
        <f t="shared" si="187"/>
        <v>AirToWaterHeatPump - Air to water heat pump (able to heat DHW)</v>
      </c>
    </row>
    <row r="259" spans="1:29" x14ac:dyDescent="0.25">
      <c r="C259" s="61">
        <f t="shared" si="193"/>
        <v>2019</v>
      </c>
      <c r="D259" s="6">
        <f t="shared" si="193"/>
        <v>2020</v>
      </c>
      <c r="E259" t="s">
        <v>366</v>
      </c>
      <c r="F259" s="67" t="s">
        <v>154</v>
      </c>
      <c r="G259" s="10">
        <v>8.1999999999999993</v>
      </c>
      <c r="H259" s="191">
        <v>7.5</v>
      </c>
      <c r="I259" s="189">
        <v>0.85</v>
      </c>
      <c r="J259" s="66" t="s">
        <v>188</v>
      </c>
      <c r="K259" s="72">
        <f t="shared" si="185"/>
        <v>1</v>
      </c>
      <c r="L259" s="61">
        <f t="shared" ref="L259:T259" si="195">L229</f>
        <v>-1</v>
      </c>
      <c r="M259" s="61">
        <f t="shared" si="195"/>
        <v>1</v>
      </c>
      <c r="N259" s="61">
        <f t="shared" si="195"/>
        <v>1</v>
      </c>
      <c r="O259" s="61">
        <f t="shared" si="195"/>
        <v>0</v>
      </c>
      <c r="P259" s="61">
        <f t="shared" si="195"/>
        <v>1</v>
      </c>
      <c r="Q259" s="96">
        <f t="shared" si="195"/>
        <v>68</v>
      </c>
      <c r="R259" s="96">
        <f t="shared" si="195"/>
        <v>1</v>
      </c>
      <c r="S259" s="75" t="str">
        <f t="shared" si="195"/>
        <v xml:space="preserve">SplitHeatPump  </v>
      </c>
      <c r="T259" s="62" t="str">
        <f t="shared" si="195"/>
        <v xml:space="preserve">SplitHeatPump  </v>
      </c>
      <c r="U259" s="92">
        <f t="shared" si="151"/>
        <v>0</v>
      </c>
      <c r="V259" s="6">
        <f t="shared" si="175"/>
        <v>1</v>
      </c>
      <c r="W259" s="6">
        <f t="shared" si="153"/>
        <v>1</v>
      </c>
      <c r="X259" s="6">
        <f t="shared" si="154"/>
        <v>0</v>
      </c>
      <c r="Y259" s="48">
        <v>1</v>
      </c>
      <c r="Z259" s="61" t="s">
        <v>0</v>
      </c>
      <c r="AA259" s="62" t="str">
        <f t="shared" si="187"/>
        <v>GroundSourceHeatPump - Ground source heat pump (able to heat DHW)</v>
      </c>
    </row>
    <row r="260" spans="1:29" x14ac:dyDescent="0.25">
      <c r="C260" s="61">
        <f t="shared" si="193"/>
        <v>2019</v>
      </c>
      <c r="D260" s="6">
        <f t="shared" si="193"/>
        <v>2020</v>
      </c>
      <c r="E260" t="s">
        <v>549</v>
      </c>
      <c r="F260" s="67" t="s">
        <v>154</v>
      </c>
      <c r="G260" s="10">
        <v>8.1999999999999993</v>
      </c>
      <c r="H260" s="191">
        <v>7.5</v>
      </c>
      <c r="I260" s="189">
        <v>0.85</v>
      </c>
      <c r="J260" s="66" t="s">
        <v>188</v>
      </c>
      <c r="K260" s="72">
        <f t="shared" si="185"/>
        <v>1</v>
      </c>
      <c r="L260" s="61">
        <f t="shared" ref="L260:T260" si="196">L230</f>
        <v>-1</v>
      </c>
      <c r="M260" s="61">
        <f t="shared" si="196"/>
        <v>1</v>
      </c>
      <c r="N260" s="61">
        <f t="shared" si="196"/>
        <v>1</v>
      </c>
      <c r="O260" s="61">
        <f t="shared" si="196"/>
        <v>0</v>
      </c>
      <c r="P260" s="61">
        <f t="shared" si="196"/>
        <v>0</v>
      </c>
      <c r="Q260" s="96">
        <f t="shared" si="196"/>
        <v>68</v>
      </c>
      <c r="R260" s="96">
        <f t="shared" si="196"/>
        <v>0</v>
      </c>
      <c r="S260" s="75" t="str">
        <f t="shared" si="196"/>
        <v xml:space="preserve">SplitHeatPump  </v>
      </c>
      <c r="T260" s="62" t="str">
        <f t="shared" si="196"/>
        <v xml:space="preserve">SplitHeatPump  </v>
      </c>
      <c r="U260" s="92">
        <f t="shared" ref="U260" si="197">IF(AND(ISNUMBER(F260), F260&gt;0), 1, 0)</f>
        <v>0</v>
      </c>
      <c r="V260" s="6">
        <f t="shared" si="175"/>
        <v>1</v>
      </c>
      <c r="W260" s="6">
        <f t="shared" si="153"/>
        <v>1</v>
      </c>
      <c r="X260" s="6">
        <f t="shared" ref="X260" si="198">IF(AND(ISNUMBER(J260), J260&gt;0), 1, 0)</f>
        <v>0</v>
      </c>
      <c r="Y260" s="48">
        <v>1</v>
      </c>
      <c r="Z260" s="61" t="s">
        <v>0</v>
      </c>
      <c r="AA260" s="62" t="str">
        <f t="shared" si="187"/>
        <v>VCHP - Variable Capacity Heat Pump</v>
      </c>
      <c r="AC260" t="s">
        <v>551</v>
      </c>
    </row>
    <row r="261" spans="1:29" x14ac:dyDescent="0.25">
      <c r="C261" s="61">
        <f t="shared" si="193"/>
        <v>2019</v>
      </c>
      <c r="D261" s="6">
        <f t="shared" si="193"/>
        <v>2020</v>
      </c>
      <c r="E261" t="s">
        <v>728</v>
      </c>
      <c r="F261" s="67" t="s">
        <v>154</v>
      </c>
      <c r="G261" s="10">
        <v>8.1999999999999993</v>
      </c>
      <c r="H261" s="188">
        <v>7.6499999999999995</v>
      </c>
      <c r="I261" s="189">
        <v>0.85</v>
      </c>
      <c r="J261" s="66" t="s">
        <v>188</v>
      </c>
      <c r="K261" s="72">
        <f t="shared" si="185"/>
        <v>1</v>
      </c>
      <c r="L261" s="61">
        <f t="shared" ref="L261:T261" si="199">L231</f>
        <v>-1</v>
      </c>
      <c r="M261" s="61">
        <f t="shared" si="199"/>
        <v>1</v>
      </c>
      <c r="N261" s="61">
        <f t="shared" si="199"/>
        <v>1</v>
      </c>
      <c r="O261" s="61">
        <f t="shared" si="199"/>
        <v>0</v>
      </c>
      <c r="P261" s="61">
        <f t="shared" si="199"/>
        <v>0</v>
      </c>
      <c r="Q261" s="96">
        <f t="shared" si="199"/>
        <v>68</v>
      </c>
      <c r="R261" s="96">
        <f t="shared" si="199"/>
        <v>0</v>
      </c>
      <c r="S261" s="75" t="str">
        <f t="shared" si="199"/>
        <v xml:space="preserve">SplitHeatPump  </v>
      </c>
      <c r="T261" s="62" t="str">
        <f t="shared" si="199"/>
        <v xml:space="preserve">SplitHeatPump  </v>
      </c>
      <c r="U261" s="92">
        <f t="shared" ref="U261" si="200">IF(AND(ISNUMBER(F261), F261&gt;0), 1, 0)</f>
        <v>0</v>
      </c>
      <c r="V261" s="6">
        <f t="shared" ref="V261" si="201">IF(AND(ISNUMBER(G261), G261&gt;0), 1, 0)</f>
        <v>1</v>
      </c>
      <c r="W261" s="6">
        <f t="shared" si="153"/>
        <v>1</v>
      </c>
      <c r="X261" s="6">
        <f t="shared" ref="X261" si="202">IF(AND(ISNUMBER(J261), J261&gt;0), 1, 0)</f>
        <v>0</v>
      </c>
      <c r="Y261" s="48">
        <v>1</v>
      </c>
      <c r="Z261" s="61" t="s">
        <v>0</v>
      </c>
      <c r="AA261" s="62" t="str">
        <f t="shared" si="187"/>
        <v>VCHP2 - Variable Capacity Heat Pump</v>
      </c>
      <c r="AC261" t="s">
        <v>551</v>
      </c>
    </row>
    <row r="262" spans="1:29" x14ac:dyDescent="0.25">
      <c r="C262" s="61">
        <f t="shared" si="193"/>
        <v>2019</v>
      </c>
      <c r="D262" s="6">
        <f t="shared" si="193"/>
        <v>2020</v>
      </c>
      <c r="E262" t="s">
        <v>1065</v>
      </c>
      <c r="F262" s="67" t="s">
        <v>154</v>
      </c>
      <c r="G262" s="10">
        <v>8.1999999999999993</v>
      </c>
      <c r="H262" s="188">
        <v>7.6499999999999995</v>
      </c>
      <c r="I262" s="189">
        <v>0.85</v>
      </c>
      <c r="J262" s="66" t="s">
        <v>188</v>
      </c>
      <c r="K262" s="72">
        <f t="shared" si="185"/>
        <v>1</v>
      </c>
      <c r="L262" s="61">
        <f t="shared" ref="L262:T262" si="203">L232</f>
        <v>-1</v>
      </c>
      <c r="M262" s="61">
        <f t="shared" si="203"/>
        <v>1</v>
      </c>
      <c r="N262" s="61">
        <f t="shared" si="203"/>
        <v>1</v>
      </c>
      <c r="O262" s="61">
        <f t="shared" si="203"/>
        <v>0</v>
      </c>
      <c r="P262" s="61">
        <f t="shared" si="203"/>
        <v>0</v>
      </c>
      <c r="Q262" s="96">
        <f t="shared" si="203"/>
        <v>68</v>
      </c>
      <c r="R262" s="96">
        <f t="shared" si="203"/>
        <v>0</v>
      </c>
      <c r="S262" s="75" t="str">
        <f t="shared" si="203"/>
        <v xml:space="preserve">SplitHeatPump  </v>
      </c>
      <c r="T262" s="62" t="str">
        <f t="shared" si="203"/>
        <v xml:space="preserve">SplitHeatPump  </v>
      </c>
      <c r="U262" s="92">
        <f t="shared" ref="U262" si="204">IF(AND(ISNUMBER(F262), F262&gt;0), 1, 0)</f>
        <v>0</v>
      </c>
      <c r="V262" s="6">
        <f t="shared" ref="V262" si="205">IF(AND(ISNUMBER(G262), G262&gt;0), 1, 0)</f>
        <v>1</v>
      </c>
      <c r="W262" s="6">
        <f t="shared" ref="W262" si="206">IF(AND(ISNUMBER(H262), H262&gt;0), 1, 0)</f>
        <v>1</v>
      </c>
      <c r="X262" s="6">
        <f t="shared" ref="X262" si="207">IF(AND(ISNUMBER(J262), J262&gt;0), 1, 0)</f>
        <v>0</v>
      </c>
      <c r="Y262" s="48">
        <v>1</v>
      </c>
      <c r="Z262" s="61" t="s">
        <v>0</v>
      </c>
      <c r="AA262" s="62" t="str">
        <f t="shared" si="187"/>
        <v>VCHP3</v>
      </c>
      <c r="AC262" t="s">
        <v>551</v>
      </c>
    </row>
    <row r="263" spans="1:29" x14ac:dyDescent="0.25">
      <c r="A263" t="s">
        <v>636</v>
      </c>
      <c r="D263" s="126"/>
      <c r="E263" s="126"/>
      <c r="F263" s="126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6"/>
    </row>
    <row r="264" spans="1:29" x14ac:dyDescent="0.25">
      <c r="C264" s="60">
        <v>2022</v>
      </c>
      <c r="D264" s="60">
        <v>2023</v>
      </c>
      <c r="E264" t="s">
        <v>141</v>
      </c>
      <c r="F264" s="50">
        <v>80</v>
      </c>
      <c r="G264" s="66" t="s">
        <v>155</v>
      </c>
      <c r="H264" s="66" t="s">
        <v>189</v>
      </c>
      <c r="I264" s="66" t="s">
        <v>189</v>
      </c>
      <c r="J264" s="66" t="s">
        <v>188</v>
      </c>
      <c r="K264" s="128">
        <f t="shared" ref="K264:T264" si="208">K234</f>
        <v>1</v>
      </c>
      <c r="L264" s="129">
        <f t="shared" si="208"/>
        <v>1</v>
      </c>
      <c r="M264" s="129">
        <f t="shared" si="208"/>
        <v>0</v>
      </c>
      <c r="N264" s="129">
        <f t="shared" si="208"/>
        <v>0</v>
      </c>
      <c r="O264" s="129">
        <f t="shared" si="208"/>
        <v>1</v>
      </c>
      <c r="P264" s="130">
        <f t="shared" si="208"/>
        <v>0</v>
      </c>
      <c r="Q264" s="72">
        <f t="shared" si="208"/>
        <v>-1</v>
      </c>
      <c r="R264" s="72">
        <f t="shared" si="208"/>
        <v>0</v>
      </c>
      <c r="S264" s="75" t="str">
        <f t="shared" si="208"/>
        <v xml:space="preserve">CntrlFurnace   </v>
      </c>
      <c r="T264" s="62" t="str">
        <f t="shared" si="208"/>
        <v xml:space="preserve">CntrlFurnace   </v>
      </c>
      <c r="U264" s="92">
        <f t="shared" ref="U264:U291" si="209">IF(AND(ISNUMBER(F264), F264&gt;0), 1, 0)</f>
        <v>1</v>
      </c>
      <c r="V264" s="6">
        <f t="shared" ref="V264:W267" si="210">IF(AND(ISNUMBER(G264), G264&gt;0), 1, 0)</f>
        <v>0</v>
      </c>
      <c r="W264" s="6">
        <f t="shared" si="210"/>
        <v>0</v>
      </c>
      <c r="X264" s="6">
        <f t="shared" ref="X264:X291" si="211">IF(AND(ISNUMBER(J264), J264&gt;0), 1, 0)</f>
        <v>0</v>
      </c>
      <c r="Y264" s="48">
        <v>1</v>
      </c>
      <c r="Z264" s="61" t="s">
        <v>0</v>
      </c>
      <c r="AA264" s="62" t="str">
        <f t="shared" ref="AA264:AA288" si="212">AA234</f>
        <v xml:space="preserve">CntrlFurnace - Fuel-fired central furnace                         </v>
      </c>
    </row>
    <row r="265" spans="1:29" x14ac:dyDescent="0.25">
      <c r="C265" s="61">
        <f>C264</f>
        <v>2022</v>
      </c>
      <c r="D265" s="6">
        <f>D264</f>
        <v>2023</v>
      </c>
      <c r="E265" t="s">
        <v>385</v>
      </c>
      <c r="F265" s="63">
        <v>73</v>
      </c>
      <c r="G265" s="66" t="s">
        <v>155</v>
      </c>
      <c r="H265" s="66" t="s">
        <v>189</v>
      </c>
      <c r="I265" s="66" t="s">
        <v>189</v>
      </c>
      <c r="J265" s="66" t="s">
        <v>188</v>
      </c>
      <c r="K265" s="72">
        <f t="shared" ref="K265:T265" si="213">K235</f>
        <v>1</v>
      </c>
      <c r="L265" s="61">
        <f t="shared" si="213"/>
        <v>0</v>
      </c>
      <c r="M265" s="61">
        <f t="shared" si="213"/>
        <v>0</v>
      </c>
      <c r="N265" s="61">
        <f t="shared" si="213"/>
        <v>0</v>
      </c>
      <c r="O265" s="61">
        <f t="shared" si="213"/>
        <v>1</v>
      </c>
      <c r="P265" s="105">
        <f t="shared" si="213"/>
        <v>0</v>
      </c>
      <c r="Q265" s="72">
        <f t="shared" si="213"/>
        <v>-1</v>
      </c>
      <c r="R265" s="72">
        <f t="shared" si="213"/>
        <v>0</v>
      </c>
      <c r="S265" s="75" t="str">
        <f t="shared" si="213"/>
        <v xml:space="preserve">CntrlFurnace   </v>
      </c>
      <c r="T265" s="62" t="str">
        <f t="shared" si="213"/>
        <v xml:space="preserve">CntrlFurnace   </v>
      </c>
      <c r="U265" s="92">
        <f t="shared" si="209"/>
        <v>1</v>
      </c>
      <c r="V265" s="6">
        <f t="shared" si="210"/>
        <v>0</v>
      </c>
      <c r="W265" s="6">
        <f t="shared" si="210"/>
        <v>0</v>
      </c>
      <c r="X265" s="6">
        <f t="shared" si="211"/>
        <v>0</v>
      </c>
      <c r="Y265" s="48">
        <v>1</v>
      </c>
      <c r="Z265" s="61" t="s">
        <v>0</v>
      </c>
      <c r="AA265" s="62" t="str">
        <f t="shared" si="212"/>
        <v>WallFurnaceFan - Ductless fan forced wall furnace</v>
      </c>
    </row>
    <row r="266" spans="1:29" x14ac:dyDescent="0.25">
      <c r="C266" s="61">
        <f t="shared" ref="C266:D266" si="214">C265</f>
        <v>2022</v>
      </c>
      <c r="D266" s="6">
        <f t="shared" si="214"/>
        <v>2023</v>
      </c>
      <c r="E266" t="s">
        <v>386</v>
      </c>
      <c r="F266" s="63">
        <v>59</v>
      </c>
      <c r="G266" s="66" t="s">
        <v>155</v>
      </c>
      <c r="H266" s="66" t="s">
        <v>189</v>
      </c>
      <c r="I266" s="66" t="s">
        <v>189</v>
      </c>
      <c r="J266" s="66" t="s">
        <v>188</v>
      </c>
      <c r="K266" s="72">
        <f t="shared" ref="K266:T266" si="215">K236</f>
        <v>1</v>
      </c>
      <c r="L266" s="61">
        <f t="shared" si="215"/>
        <v>0</v>
      </c>
      <c r="M266" s="61">
        <f t="shared" si="215"/>
        <v>0</v>
      </c>
      <c r="N266" s="61">
        <f t="shared" si="215"/>
        <v>0</v>
      </c>
      <c r="O266" s="61">
        <f t="shared" si="215"/>
        <v>1</v>
      </c>
      <c r="P266" s="105">
        <f t="shared" si="215"/>
        <v>0</v>
      </c>
      <c r="Q266" s="72">
        <f t="shared" si="215"/>
        <v>-1</v>
      </c>
      <c r="R266" s="72">
        <f t="shared" si="215"/>
        <v>0</v>
      </c>
      <c r="S266" s="75" t="str">
        <f t="shared" si="215"/>
        <v xml:space="preserve">CntrlFurnace   </v>
      </c>
      <c r="T266" s="62" t="str">
        <f t="shared" si="215"/>
        <v xml:space="preserve">CntrlFurnace   </v>
      </c>
      <c r="U266" s="92">
        <f t="shared" si="209"/>
        <v>1</v>
      </c>
      <c r="V266" s="6">
        <f t="shared" si="210"/>
        <v>0</v>
      </c>
      <c r="W266" s="6">
        <f t="shared" si="210"/>
        <v>0</v>
      </c>
      <c r="X266" s="6">
        <f t="shared" si="211"/>
        <v>0</v>
      </c>
      <c r="Y266" s="48">
        <v>0</v>
      </c>
      <c r="Z266" s="61" t="s">
        <v>0</v>
      </c>
      <c r="AA266" s="62" t="str">
        <f t="shared" si="212"/>
        <v>WallFurnaceGravity - Ductless gravity flowed wall furnace</v>
      </c>
    </row>
    <row r="267" spans="1:29" x14ac:dyDescent="0.25">
      <c r="C267" s="61">
        <f t="shared" ref="C267:D267" si="216">C266</f>
        <v>2022</v>
      </c>
      <c r="D267" s="6">
        <f t="shared" si="216"/>
        <v>2023</v>
      </c>
      <c r="E267" t="s">
        <v>383</v>
      </c>
      <c r="F267" s="63">
        <v>56</v>
      </c>
      <c r="G267" s="66" t="s">
        <v>155</v>
      </c>
      <c r="H267" s="66" t="s">
        <v>189</v>
      </c>
      <c r="I267" s="66" t="s">
        <v>189</v>
      </c>
      <c r="J267" s="66" t="s">
        <v>188</v>
      </c>
      <c r="K267" s="72">
        <f t="shared" ref="K267:T267" si="217">K237</f>
        <v>1</v>
      </c>
      <c r="L267" s="61">
        <f t="shared" si="217"/>
        <v>0</v>
      </c>
      <c r="M267" s="61">
        <f t="shared" si="217"/>
        <v>0</v>
      </c>
      <c r="N267" s="61">
        <f t="shared" si="217"/>
        <v>0</v>
      </c>
      <c r="O267" s="61">
        <f t="shared" si="217"/>
        <v>1</v>
      </c>
      <c r="P267" s="105">
        <f t="shared" si="217"/>
        <v>0</v>
      </c>
      <c r="Q267" s="72">
        <f t="shared" si="217"/>
        <v>-1</v>
      </c>
      <c r="R267" s="72">
        <f t="shared" si="217"/>
        <v>0</v>
      </c>
      <c r="S267" s="75" t="str">
        <f t="shared" si="217"/>
        <v xml:space="preserve">CntrlFurnace   </v>
      </c>
      <c r="T267" s="62" t="str">
        <f t="shared" si="217"/>
        <v xml:space="preserve">CntrlFurnace   </v>
      </c>
      <c r="U267" s="92">
        <f t="shared" si="209"/>
        <v>1</v>
      </c>
      <c r="V267" s="6">
        <f t="shared" si="210"/>
        <v>0</v>
      </c>
      <c r="W267" s="6">
        <f t="shared" si="210"/>
        <v>0</v>
      </c>
      <c r="X267" s="6">
        <f t="shared" si="211"/>
        <v>0</v>
      </c>
      <c r="Y267" s="48">
        <v>0</v>
      </c>
      <c r="Z267" s="61" t="s">
        <v>0</v>
      </c>
      <c r="AA267" s="62" t="str">
        <f t="shared" si="212"/>
        <v>FloorFurnace - Ductless floor heating system</v>
      </c>
    </row>
    <row r="268" spans="1:29" x14ac:dyDescent="0.25">
      <c r="C268" s="61">
        <f t="shared" ref="C268:D268" si="218">C267</f>
        <v>2022</v>
      </c>
      <c r="D268" s="6">
        <f t="shared" si="218"/>
        <v>2023</v>
      </c>
      <c r="E268" s="176" t="s">
        <v>675</v>
      </c>
      <c r="F268" s="180">
        <v>81</v>
      </c>
      <c r="G268" s="66" t="s">
        <v>155</v>
      </c>
      <c r="H268" s="66" t="s">
        <v>189</v>
      </c>
      <c r="I268" s="66" t="s">
        <v>189</v>
      </c>
      <c r="J268" s="66" t="s">
        <v>188</v>
      </c>
      <c r="K268" s="72">
        <f t="shared" ref="K268:T268" si="219">K238</f>
        <v>1</v>
      </c>
      <c r="L268" s="61">
        <f t="shared" si="219"/>
        <v>1</v>
      </c>
      <c r="M268" s="61">
        <f t="shared" si="219"/>
        <v>0</v>
      </c>
      <c r="N268" s="61">
        <f t="shared" si="219"/>
        <v>0</v>
      </c>
      <c r="O268" s="61">
        <f t="shared" si="219"/>
        <v>1</v>
      </c>
      <c r="P268" s="105">
        <f t="shared" si="219"/>
        <v>0</v>
      </c>
      <c r="Q268" s="72">
        <f t="shared" si="219"/>
        <v>-1</v>
      </c>
      <c r="R268" s="72">
        <f t="shared" si="219"/>
        <v>0</v>
      </c>
      <c r="S268" s="75" t="str">
        <f t="shared" si="219"/>
        <v xml:space="preserve">CntrlFurnace   </v>
      </c>
      <c r="T268" s="62" t="str">
        <f t="shared" si="219"/>
        <v xml:space="preserve">CntrlFurnace   </v>
      </c>
      <c r="U268" s="92">
        <f t="shared" ref="U268" si="220">IF(AND(ISNUMBER(F268), F268&gt;0), 1, 0)</f>
        <v>1</v>
      </c>
      <c r="V268" s="6">
        <f t="shared" ref="V268" si="221">IF(AND(ISNUMBER(G268), G268&gt;0), 1, 0)</f>
        <v>0</v>
      </c>
      <c r="W268" s="6">
        <f t="shared" ref="W268:W292" si="222">IF(AND(ISNUMBER(H268), H268&gt;0), 1, 0)</f>
        <v>0</v>
      </c>
      <c r="X268" s="6">
        <f t="shared" ref="X268" si="223">IF(AND(ISNUMBER(J268), J268&gt;0), 1, 0)</f>
        <v>0</v>
      </c>
      <c r="Y268" s="48">
        <v>1</v>
      </c>
      <c r="Z268" s="61" t="s">
        <v>0</v>
      </c>
      <c r="AA268" s="62" t="str">
        <f t="shared" si="212"/>
        <v>PkgGasFurnace - Packaged gas furnace</v>
      </c>
    </row>
    <row r="269" spans="1:29" x14ac:dyDescent="0.25">
      <c r="C269" s="61">
        <f t="shared" ref="C269:D269" si="224">C268</f>
        <v>2022</v>
      </c>
      <c r="D269" s="6">
        <f t="shared" si="224"/>
        <v>2023</v>
      </c>
      <c r="E269" t="s">
        <v>384</v>
      </c>
      <c r="F269" s="63">
        <v>57</v>
      </c>
      <c r="G269" s="66" t="s">
        <v>155</v>
      </c>
      <c r="H269" s="66" t="s">
        <v>189</v>
      </c>
      <c r="I269" s="66" t="s">
        <v>189</v>
      </c>
      <c r="J269" s="66" t="s">
        <v>188</v>
      </c>
      <c r="K269" s="72">
        <f t="shared" ref="K269:T269" si="225">K239</f>
        <v>1</v>
      </c>
      <c r="L269" s="61">
        <f t="shared" si="225"/>
        <v>0</v>
      </c>
      <c r="M269" s="61">
        <f t="shared" si="225"/>
        <v>0</v>
      </c>
      <c r="N269" s="61">
        <f t="shared" si="225"/>
        <v>0</v>
      </c>
      <c r="O269" s="61">
        <f t="shared" si="225"/>
        <v>1</v>
      </c>
      <c r="P269" s="105">
        <f t="shared" si="225"/>
        <v>0</v>
      </c>
      <c r="Q269" s="72">
        <f t="shared" si="225"/>
        <v>-1</v>
      </c>
      <c r="R269" s="72">
        <f t="shared" si="225"/>
        <v>0</v>
      </c>
      <c r="S269" s="75" t="str">
        <f t="shared" si="225"/>
        <v xml:space="preserve">CntrlFurnace   </v>
      </c>
      <c r="T269" s="62" t="str">
        <f t="shared" si="225"/>
        <v xml:space="preserve">CntrlFurnace   </v>
      </c>
      <c r="U269" s="92">
        <f t="shared" si="209"/>
        <v>1</v>
      </c>
      <c r="V269" s="6">
        <f>IF(AND(ISNUMBER(G269), G269&gt;0), 1, 0)</f>
        <v>0</v>
      </c>
      <c r="W269" s="6">
        <f t="shared" si="222"/>
        <v>0</v>
      </c>
      <c r="X269" s="6">
        <f t="shared" si="211"/>
        <v>0</v>
      </c>
      <c r="Y269" s="48">
        <v>0</v>
      </c>
      <c r="Z269" s="61" t="s">
        <v>0</v>
      </c>
      <c r="AA269" s="62" t="str">
        <f t="shared" si="212"/>
        <v xml:space="preserve">Heater - Non-central fuel-fired space heater                      </v>
      </c>
    </row>
    <row r="270" spans="1:29" x14ac:dyDescent="0.25">
      <c r="C270" s="61">
        <f t="shared" ref="C270:D270" si="226">C269</f>
        <v>2022</v>
      </c>
      <c r="D270" s="6">
        <f t="shared" si="226"/>
        <v>2023</v>
      </c>
      <c r="E270" t="s">
        <v>142</v>
      </c>
      <c r="F270" s="51">
        <v>80</v>
      </c>
      <c r="G270" s="66" t="s">
        <v>155</v>
      </c>
      <c r="H270" s="66" t="s">
        <v>189</v>
      </c>
      <c r="I270" s="66" t="s">
        <v>189</v>
      </c>
      <c r="J270" s="66" t="s">
        <v>188</v>
      </c>
      <c r="K270" s="72">
        <f t="shared" ref="K270:T270" si="227">K240</f>
        <v>1</v>
      </c>
      <c r="L270" s="61">
        <f t="shared" si="227"/>
        <v>-1</v>
      </c>
      <c r="M270" s="61">
        <f t="shared" si="227"/>
        <v>0</v>
      </c>
      <c r="N270" s="61">
        <f t="shared" si="227"/>
        <v>0</v>
      </c>
      <c r="O270" s="61">
        <f t="shared" si="227"/>
        <v>1</v>
      </c>
      <c r="P270" s="105">
        <f t="shared" si="227"/>
        <v>0</v>
      </c>
      <c r="Q270" s="72">
        <f t="shared" si="227"/>
        <v>-1</v>
      </c>
      <c r="R270" s="72">
        <f t="shared" si="227"/>
        <v>0</v>
      </c>
      <c r="S270" s="75" t="str">
        <f t="shared" si="227"/>
        <v xml:space="preserve">CntrlFurnace   </v>
      </c>
      <c r="T270" s="62" t="str">
        <f t="shared" si="227"/>
        <v xml:space="preserve">CntrlFurnace   </v>
      </c>
      <c r="U270" s="92">
        <f t="shared" si="209"/>
        <v>1</v>
      </c>
      <c r="V270" s="6">
        <f>IF(AND(ISNUMBER(G270), G270&gt;0), 1, 0)</f>
        <v>0</v>
      </c>
      <c r="W270" s="6">
        <f t="shared" si="222"/>
        <v>0</v>
      </c>
      <c r="X270" s="6">
        <f t="shared" si="211"/>
        <v>0</v>
      </c>
      <c r="Y270" s="48">
        <v>1</v>
      </c>
      <c r="Z270" s="61" t="s">
        <v>0</v>
      </c>
      <c r="AA270" s="62" t="str">
        <f t="shared" si="212"/>
        <v xml:space="preserve">Boiler - Gas or oil boiler                                        </v>
      </c>
    </row>
    <row r="271" spans="1:29" x14ac:dyDescent="0.25">
      <c r="C271" s="61">
        <f t="shared" ref="C271:D271" si="228">C270</f>
        <v>2022</v>
      </c>
      <c r="D271" s="6">
        <f t="shared" si="228"/>
        <v>2023</v>
      </c>
      <c r="E271" t="s">
        <v>521</v>
      </c>
      <c r="F271" s="67" t="s">
        <v>154</v>
      </c>
      <c r="G271" s="66" t="s">
        <v>155</v>
      </c>
      <c r="H271" s="66" t="s">
        <v>189</v>
      </c>
      <c r="I271" s="66" t="s">
        <v>189</v>
      </c>
      <c r="J271" s="66" t="s">
        <v>188</v>
      </c>
      <c r="K271" s="72">
        <f t="shared" ref="K271:T271" si="229">K241</f>
        <v>1</v>
      </c>
      <c r="L271" s="61">
        <f t="shared" si="229"/>
        <v>0</v>
      </c>
      <c r="M271" s="61">
        <f t="shared" si="229"/>
        <v>0</v>
      </c>
      <c r="N271" s="61">
        <f t="shared" si="229"/>
        <v>0</v>
      </c>
      <c r="O271" s="61">
        <f t="shared" si="229"/>
        <v>0</v>
      </c>
      <c r="P271" s="105">
        <f t="shared" si="229"/>
        <v>0</v>
      </c>
      <c r="Q271" s="72">
        <f t="shared" si="229"/>
        <v>-1</v>
      </c>
      <c r="R271" s="72">
        <f t="shared" si="229"/>
        <v>1</v>
      </c>
      <c r="S271" s="75" t="str">
        <f t="shared" si="229"/>
        <v xml:space="preserve">CntrlFurnace   </v>
      </c>
      <c r="T271" s="62" t="str">
        <f t="shared" si="229"/>
        <v xml:space="preserve">CntrlFurnace   </v>
      </c>
      <c r="U271" s="92">
        <f t="shared" si="209"/>
        <v>0</v>
      </c>
      <c r="V271" s="6">
        <f>IF(AND(ISNUMBER(G271), G271&gt;0), 1, 0)</f>
        <v>0</v>
      </c>
      <c r="W271" s="6">
        <f t="shared" si="222"/>
        <v>0</v>
      </c>
      <c r="X271" s="6">
        <f t="shared" si="211"/>
        <v>0</v>
      </c>
      <c r="Y271" s="48">
        <v>0</v>
      </c>
      <c r="Z271" s="61" t="s">
        <v>0</v>
      </c>
      <c r="AA271" s="62" t="str">
        <f t="shared" si="212"/>
        <v>WoodHeat - Wood heat meeting exceptional method criteria</v>
      </c>
      <c r="AC271" t="s">
        <v>524</v>
      </c>
    </row>
    <row r="272" spans="1:29" x14ac:dyDescent="0.25">
      <c r="C272" s="61">
        <f t="shared" ref="C272:D272" si="230">C271</f>
        <v>2022</v>
      </c>
      <c r="D272" s="6">
        <f t="shared" si="230"/>
        <v>2023</v>
      </c>
      <c r="E272" t="s">
        <v>143</v>
      </c>
      <c r="F272" s="67" t="s">
        <v>154</v>
      </c>
      <c r="G272" s="191">
        <v>8.8000000000000007</v>
      </c>
      <c r="H272" s="191">
        <v>7.5</v>
      </c>
      <c r="I272" s="191">
        <v>0.85</v>
      </c>
      <c r="J272" s="66" t="s">
        <v>188</v>
      </c>
      <c r="K272" s="72">
        <f t="shared" ref="K272:T272" si="231">K242</f>
        <v>1</v>
      </c>
      <c r="L272" s="61">
        <f t="shared" si="231"/>
        <v>1</v>
      </c>
      <c r="M272" s="61">
        <f t="shared" si="231"/>
        <v>1</v>
      </c>
      <c r="N272" s="61">
        <f t="shared" si="231"/>
        <v>1</v>
      </c>
      <c r="O272" s="61">
        <f t="shared" si="231"/>
        <v>0</v>
      </c>
      <c r="P272" s="105">
        <f t="shared" si="231"/>
        <v>0</v>
      </c>
      <c r="Q272" s="72">
        <f t="shared" si="231"/>
        <v>68</v>
      </c>
      <c r="R272" s="72">
        <f t="shared" si="231"/>
        <v>0</v>
      </c>
      <c r="S272" s="75" t="str">
        <f t="shared" si="231"/>
        <v xml:space="preserve">SplitHeatPump  </v>
      </c>
      <c r="T272" s="62" t="str">
        <f t="shared" si="231"/>
        <v xml:space="preserve">SplitHeatPump  </v>
      </c>
      <c r="U272" s="92">
        <f t="shared" si="209"/>
        <v>0</v>
      </c>
      <c r="V272" s="6">
        <f>IF(AND(ISNUMBER(G272), G272&gt;0), 1, 0)</f>
        <v>1</v>
      </c>
      <c r="W272" s="6">
        <f t="shared" si="222"/>
        <v>1</v>
      </c>
      <c r="X272" s="6">
        <f t="shared" si="211"/>
        <v>0</v>
      </c>
      <c r="Y272" s="48">
        <v>1</v>
      </c>
      <c r="Z272" s="61" t="s">
        <v>0</v>
      </c>
      <c r="AA272" s="62" t="str">
        <f t="shared" si="212"/>
        <v xml:space="preserve">SplitHeatPump - Heating side of central split heat pump           </v>
      </c>
    </row>
    <row r="273" spans="3:29" x14ac:dyDescent="0.25">
      <c r="C273" s="61">
        <f t="shared" ref="C273:D273" si="232">C272</f>
        <v>2022</v>
      </c>
      <c r="D273" s="6">
        <f t="shared" si="232"/>
        <v>2023</v>
      </c>
      <c r="E273" s="176" t="s">
        <v>682</v>
      </c>
      <c r="F273" s="67" t="s">
        <v>154</v>
      </c>
      <c r="G273" s="66" t="s">
        <v>155</v>
      </c>
      <c r="H273" s="66" t="s">
        <v>189</v>
      </c>
      <c r="I273" s="66" t="s">
        <v>189</v>
      </c>
      <c r="J273" s="179">
        <v>2.9</v>
      </c>
      <c r="K273" s="72">
        <f t="shared" ref="K273:T273" si="233">K243</f>
        <v>1</v>
      </c>
      <c r="L273" s="61">
        <f t="shared" si="233"/>
        <v>0</v>
      </c>
      <c r="M273" s="61">
        <f t="shared" si="233"/>
        <v>1</v>
      </c>
      <c r="N273" s="61">
        <f t="shared" si="233"/>
        <v>1</v>
      </c>
      <c r="O273" s="61">
        <f t="shared" si="233"/>
        <v>0</v>
      </c>
      <c r="P273" s="105">
        <f t="shared" si="233"/>
        <v>0</v>
      </c>
      <c r="Q273" s="72">
        <f t="shared" si="233"/>
        <v>68</v>
      </c>
      <c r="R273" s="72">
        <f t="shared" si="233"/>
        <v>0</v>
      </c>
      <c r="S273" s="75" t="str">
        <f t="shared" si="233"/>
        <v xml:space="preserve">SplitHeatPump  </v>
      </c>
      <c r="T273" s="62" t="str">
        <f t="shared" si="233"/>
        <v xml:space="preserve">SplitHeatPump  </v>
      </c>
      <c r="U273" s="92">
        <f t="shared" ref="U273:U274" si="234">IF(AND(ISNUMBER(F273), F273&gt;0), 1, 0)</f>
        <v>0</v>
      </c>
      <c r="V273" s="6">
        <f t="shared" ref="V273:V274" si="235">IF(AND(ISNUMBER(G273), G273&gt;0), 1, 0)</f>
        <v>0</v>
      </c>
      <c r="W273" s="6">
        <f t="shared" si="222"/>
        <v>0</v>
      </c>
      <c r="X273" s="6">
        <f t="shared" ref="X273:X274" si="236">IF(AND(ISNUMBER(J273), J273&gt;0), 1, 0)</f>
        <v>1</v>
      </c>
      <c r="Y273" s="48">
        <v>0</v>
      </c>
      <c r="Z273" s="61" t="s">
        <v>0</v>
      </c>
      <c r="AA273" s="62" t="str">
        <f t="shared" si="212"/>
        <v>PkgTermHeatPump - Packaged terminal heat pump (PTHP)</v>
      </c>
    </row>
    <row r="274" spans="3:29" x14ac:dyDescent="0.25">
      <c r="C274" s="61">
        <f t="shared" ref="C274:D274" si="237">C273</f>
        <v>2022</v>
      </c>
      <c r="D274" s="6">
        <f t="shared" si="237"/>
        <v>2023</v>
      </c>
      <c r="E274" s="176" t="s">
        <v>683</v>
      </c>
      <c r="F274" s="67" t="s">
        <v>154</v>
      </c>
      <c r="G274" s="66" t="s">
        <v>155</v>
      </c>
      <c r="H274" s="66" t="s">
        <v>189</v>
      </c>
      <c r="I274" s="66" t="s">
        <v>189</v>
      </c>
      <c r="J274" s="179">
        <v>3.3</v>
      </c>
      <c r="K274" s="72">
        <f t="shared" ref="K274:T274" si="238">K244</f>
        <v>1</v>
      </c>
      <c r="L274" s="61">
        <f t="shared" si="238"/>
        <v>1</v>
      </c>
      <c r="M274" s="61">
        <f t="shared" si="238"/>
        <v>1</v>
      </c>
      <c r="N274" s="61">
        <f t="shared" si="238"/>
        <v>1</v>
      </c>
      <c r="O274" s="61">
        <f t="shared" si="238"/>
        <v>0</v>
      </c>
      <c r="P274" s="105">
        <f t="shared" si="238"/>
        <v>0</v>
      </c>
      <c r="Q274" s="72">
        <f t="shared" si="238"/>
        <v>68</v>
      </c>
      <c r="R274" s="72">
        <f t="shared" si="238"/>
        <v>0</v>
      </c>
      <c r="S274" s="75" t="str">
        <f t="shared" si="238"/>
        <v xml:space="preserve">SplitHeatPump  </v>
      </c>
      <c r="T274" s="62" t="str">
        <f t="shared" si="238"/>
        <v xml:space="preserve">SplitHeatPump  </v>
      </c>
      <c r="U274" s="92">
        <f t="shared" si="234"/>
        <v>0</v>
      </c>
      <c r="V274" s="6">
        <f t="shared" si="235"/>
        <v>0</v>
      </c>
      <c r="W274" s="6">
        <f t="shared" si="222"/>
        <v>0</v>
      </c>
      <c r="X274" s="6">
        <f t="shared" si="236"/>
        <v>1</v>
      </c>
      <c r="Y274" s="48">
        <v>0</v>
      </c>
      <c r="Z274" s="61" t="s">
        <v>0</v>
      </c>
      <c r="AA274" s="62" t="str">
        <f t="shared" si="212"/>
        <v>SglPkgVertHeatPump - Single package vertical heat pump</v>
      </c>
    </row>
    <row r="275" spans="3:29" x14ac:dyDescent="0.25">
      <c r="C275" s="61">
        <f t="shared" ref="C275:D275" si="239">C274</f>
        <v>2022</v>
      </c>
      <c r="D275" s="6">
        <f t="shared" si="239"/>
        <v>2023</v>
      </c>
      <c r="E275" t="s">
        <v>511</v>
      </c>
      <c r="F275" s="67" t="s">
        <v>154</v>
      </c>
      <c r="G275" s="10">
        <v>7.2</v>
      </c>
      <c r="H275" s="191">
        <v>6.1</v>
      </c>
      <c r="I275" s="191">
        <v>0.85</v>
      </c>
      <c r="J275" s="66" t="s">
        <v>188</v>
      </c>
      <c r="K275" s="72">
        <f t="shared" ref="K275:T275" si="240">K245</f>
        <v>1</v>
      </c>
      <c r="L275" s="61">
        <f t="shared" si="240"/>
        <v>1</v>
      </c>
      <c r="M275" s="61">
        <f t="shared" si="240"/>
        <v>1</v>
      </c>
      <c r="N275" s="61">
        <f t="shared" si="240"/>
        <v>1</v>
      </c>
      <c r="O275" s="61">
        <f t="shared" si="240"/>
        <v>0</v>
      </c>
      <c r="P275" s="105">
        <f t="shared" si="240"/>
        <v>0</v>
      </c>
      <c r="Q275" s="72">
        <f t="shared" si="240"/>
        <v>68</v>
      </c>
      <c r="R275" s="72">
        <f t="shared" si="240"/>
        <v>0</v>
      </c>
      <c r="S275" s="75" t="str">
        <f t="shared" si="240"/>
        <v xml:space="preserve">SplitHeatPump  </v>
      </c>
      <c r="T275" s="62" t="str">
        <f t="shared" si="240"/>
        <v xml:space="preserve">SplitHeatPump  </v>
      </c>
      <c r="U275" s="92">
        <f t="shared" si="209"/>
        <v>0</v>
      </c>
      <c r="V275" s="6">
        <f>IF(AND(ISNUMBER(G275), G275&gt;0), 1, 0)</f>
        <v>1</v>
      </c>
      <c r="W275" s="6">
        <f t="shared" si="222"/>
        <v>1</v>
      </c>
      <c r="X275" s="6">
        <f t="shared" si="211"/>
        <v>0</v>
      </c>
      <c r="Y275" s="48">
        <v>1</v>
      </c>
      <c r="Z275" s="61" t="s">
        <v>0</v>
      </c>
      <c r="AA275" s="62" t="str">
        <f t="shared" si="212"/>
        <v xml:space="preserve">SDHVSplitHeatPump - Small duct, high velocity, central split heat pump           </v>
      </c>
    </row>
    <row r="276" spans="3:29" x14ac:dyDescent="0.25">
      <c r="C276" s="61">
        <f t="shared" ref="C276:D276" si="241">C275</f>
        <v>2022</v>
      </c>
      <c r="D276" s="6">
        <f t="shared" si="241"/>
        <v>2023</v>
      </c>
      <c r="E276" t="s">
        <v>530</v>
      </c>
      <c r="F276" s="67" t="s">
        <v>154</v>
      </c>
      <c r="G276" s="191">
        <v>8.8000000000000007</v>
      </c>
      <c r="H276" s="191">
        <v>7.5</v>
      </c>
      <c r="I276" s="191">
        <v>0.85</v>
      </c>
      <c r="J276" s="66" t="s">
        <v>188</v>
      </c>
      <c r="K276" s="72">
        <f t="shared" ref="K276:T276" si="242">K246</f>
        <v>1</v>
      </c>
      <c r="L276" s="61">
        <f t="shared" si="242"/>
        <v>0</v>
      </c>
      <c r="M276" s="61">
        <f t="shared" si="242"/>
        <v>1</v>
      </c>
      <c r="N276" s="61">
        <f t="shared" si="242"/>
        <v>1</v>
      </c>
      <c r="O276" s="61">
        <f t="shared" si="242"/>
        <v>0</v>
      </c>
      <c r="P276" s="105">
        <f t="shared" si="242"/>
        <v>0</v>
      </c>
      <c r="Q276" s="72">
        <f t="shared" si="242"/>
        <v>68</v>
      </c>
      <c r="R276" s="72">
        <f t="shared" si="242"/>
        <v>1</v>
      </c>
      <c r="S276" s="75" t="str">
        <f t="shared" si="242"/>
        <v xml:space="preserve">SplitHeatPump  </v>
      </c>
      <c r="T276" s="62" t="str">
        <f t="shared" si="242"/>
        <v xml:space="preserve">SplitHeatPump  </v>
      </c>
      <c r="U276" s="92">
        <f t="shared" si="209"/>
        <v>0</v>
      </c>
      <c r="V276" s="6">
        <f>IF(AND(ISNUMBER(G276), G276&gt;0), 1, 0)</f>
        <v>1</v>
      </c>
      <c r="W276" s="6">
        <f t="shared" si="222"/>
        <v>1</v>
      </c>
      <c r="X276" s="6">
        <f t="shared" si="211"/>
        <v>0</v>
      </c>
      <c r="Y276" s="48">
        <v>1</v>
      </c>
      <c r="Z276" s="61" t="s">
        <v>0</v>
      </c>
      <c r="AA276" s="62" t="str">
        <f t="shared" si="212"/>
        <v>DuctlessMiniSplitHeatPump – Ductless mini-split heat pump system</v>
      </c>
      <c r="AC276" t="s">
        <v>525</v>
      </c>
    </row>
    <row r="277" spans="3:29" x14ac:dyDescent="0.25">
      <c r="C277" s="61">
        <f t="shared" ref="C277:D277" si="243">C276</f>
        <v>2022</v>
      </c>
      <c r="D277" s="6">
        <f t="shared" si="243"/>
        <v>2023</v>
      </c>
      <c r="E277" t="s">
        <v>531</v>
      </c>
      <c r="F277" s="67" t="s">
        <v>154</v>
      </c>
      <c r="G277" s="191">
        <v>8.8000000000000007</v>
      </c>
      <c r="H277" s="191">
        <v>7.5</v>
      </c>
      <c r="I277" s="191">
        <v>0.85</v>
      </c>
      <c r="J277" s="66" t="s">
        <v>188</v>
      </c>
      <c r="K277" s="72">
        <f t="shared" ref="K277:T277" si="244">K247</f>
        <v>1</v>
      </c>
      <c r="L277" s="61">
        <f t="shared" si="244"/>
        <v>0</v>
      </c>
      <c r="M277" s="61">
        <f t="shared" si="244"/>
        <v>1</v>
      </c>
      <c r="N277" s="61">
        <f t="shared" si="244"/>
        <v>1</v>
      </c>
      <c r="O277" s="61">
        <f t="shared" si="244"/>
        <v>0</v>
      </c>
      <c r="P277" s="61">
        <f t="shared" si="244"/>
        <v>0</v>
      </c>
      <c r="Q277" s="96">
        <f t="shared" si="244"/>
        <v>68</v>
      </c>
      <c r="R277" s="72">
        <f t="shared" si="244"/>
        <v>1</v>
      </c>
      <c r="S277" s="75" t="str">
        <f t="shared" si="244"/>
        <v xml:space="preserve">SplitHeatPump  </v>
      </c>
      <c r="T277" s="62" t="str">
        <f t="shared" si="244"/>
        <v xml:space="preserve">SplitHeatPump  </v>
      </c>
      <c r="U277" s="72">
        <f t="shared" si="209"/>
        <v>0</v>
      </c>
      <c r="V277" s="61">
        <f>IF(AND(ISNUMBER(G277), G277&gt;0), 1, 0)</f>
        <v>1</v>
      </c>
      <c r="W277" s="61">
        <f t="shared" si="222"/>
        <v>1</v>
      </c>
      <c r="X277" s="61">
        <f t="shared" si="211"/>
        <v>0</v>
      </c>
      <c r="Y277" s="48">
        <v>1</v>
      </c>
      <c r="Z277" s="61" t="s">
        <v>0</v>
      </c>
      <c r="AA277" s="62" t="str">
        <f t="shared" si="212"/>
        <v>DuctlessMultiSplitHeatPump - Ductless multi-split heat pump system</v>
      </c>
      <c r="AC277" t="s">
        <v>524</v>
      </c>
    </row>
    <row r="278" spans="3:29" x14ac:dyDescent="0.25">
      <c r="C278" s="61">
        <f t="shared" ref="C278:D278" si="245">C277</f>
        <v>2022</v>
      </c>
      <c r="D278" s="6">
        <f t="shared" si="245"/>
        <v>2023</v>
      </c>
      <c r="E278" t="s">
        <v>520</v>
      </c>
      <c r="F278" s="67" t="s">
        <v>154</v>
      </c>
      <c r="G278" s="10">
        <v>7.7</v>
      </c>
      <c r="H278" s="190">
        <f>G278*0.85</f>
        <v>6.5449999999999999</v>
      </c>
      <c r="I278" s="191">
        <v>0.85</v>
      </c>
      <c r="J278" s="66" t="s">
        <v>188</v>
      </c>
      <c r="K278" s="72">
        <f t="shared" ref="K278:T278" si="246">K248</f>
        <v>1</v>
      </c>
      <c r="L278" s="61">
        <f t="shared" si="246"/>
        <v>0</v>
      </c>
      <c r="M278" s="61">
        <f t="shared" si="246"/>
        <v>1</v>
      </c>
      <c r="N278" s="61">
        <f t="shared" si="246"/>
        <v>1</v>
      </c>
      <c r="O278" s="61">
        <f t="shared" si="246"/>
        <v>0</v>
      </c>
      <c r="P278" s="61">
        <f t="shared" si="246"/>
        <v>0</v>
      </c>
      <c r="Q278" s="96">
        <f t="shared" si="246"/>
        <v>68</v>
      </c>
      <c r="R278" s="72">
        <f t="shared" si="246"/>
        <v>1</v>
      </c>
      <c r="S278" s="75" t="str">
        <f t="shared" si="246"/>
        <v xml:space="preserve">SplitHeatPump  </v>
      </c>
      <c r="T278" s="62" t="str">
        <f t="shared" si="246"/>
        <v xml:space="preserve">SplitHeatPump  </v>
      </c>
      <c r="U278" s="72">
        <f t="shared" si="209"/>
        <v>0</v>
      </c>
      <c r="V278" s="61">
        <f>IF(AND(ISNUMBER(G278), G278&gt;0), 1, 0)</f>
        <v>1</v>
      </c>
      <c r="W278" s="61">
        <f t="shared" si="222"/>
        <v>1</v>
      </c>
      <c r="X278" s="61">
        <f t="shared" si="211"/>
        <v>0</v>
      </c>
      <c r="Y278" s="48">
        <v>1</v>
      </c>
      <c r="Z278" s="61" t="s">
        <v>0</v>
      </c>
      <c r="AA278" s="62" t="str">
        <f t="shared" si="212"/>
        <v>DuctlessVRFHeatPump - Ductless variable refrigerant flow (VRF) heat pump system</v>
      </c>
      <c r="AC278" t="s">
        <v>524</v>
      </c>
    </row>
    <row r="279" spans="3:29" x14ac:dyDescent="0.25">
      <c r="C279" s="61">
        <f t="shared" ref="C279:D279" si="247">C278</f>
        <v>2022</v>
      </c>
      <c r="D279" s="6">
        <f t="shared" si="247"/>
        <v>2023</v>
      </c>
      <c r="E279" s="176" t="s">
        <v>686</v>
      </c>
      <c r="F279" s="67" t="s">
        <v>154</v>
      </c>
      <c r="G279" s="191">
        <v>8.8000000000000007</v>
      </c>
      <c r="H279" s="191">
        <v>7.5</v>
      </c>
      <c r="I279" s="191">
        <v>0.85</v>
      </c>
      <c r="J279" s="66" t="s">
        <v>188</v>
      </c>
      <c r="K279" s="72">
        <f t="shared" ref="K279:T279" si="248">K249</f>
        <v>1</v>
      </c>
      <c r="L279" s="61">
        <f t="shared" si="248"/>
        <v>1</v>
      </c>
      <c r="M279" s="61">
        <f t="shared" si="248"/>
        <v>1</v>
      </c>
      <c r="N279" s="61">
        <f t="shared" si="248"/>
        <v>1</v>
      </c>
      <c r="O279" s="61">
        <f t="shared" si="248"/>
        <v>0</v>
      </c>
      <c r="P279" s="105">
        <f t="shared" si="248"/>
        <v>0</v>
      </c>
      <c r="Q279" s="72">
        <f t="shared" si="248"/>
        <v>68</v>
      </c>
      <c r="R279" s="72">
        <f t="shared" si="248"/>
        <v>1</v>
      </c>
      <c r="S279" s="75" t="str">
        <f t="shared" si="248"/>
        <v xml:space="preserve">SplitHeatPump  </v>
      </c>
      <c r="T279" s="62" t="str">
        <f t="shared" si="248"/>
        <v xml:space="preserve">SplitHeatPump  </v>
      </c>
      <c r="U279" s="92">
        <f t="shared" ref="U279:U281" si="249">IF(AND(ISNUMBER(F279), F279&gt;0), 1, 0)</f>
        <v>0</v>
      </c>
      <c r="V279" s="6">
        <f t="shared" ref="V279:V281" si="250">IF(AND(ISNUMBER(G279), G279&gt;0), 1, 0)</f>
        <v>1</v>
      </c>
      <c r="W279" s="6">
        <f t="shared" si="222"/>
        <v>1</v>
      </c>
      <c r="X279" s="6">
        <f t="shared" ref="X279:X281" si="251">IF(AND(ISNUMBER(J279), J279&gt;0), 1, 0)</f>
        <v>0</v>
      </c>
      <c r="Y279" s="48">
        <v>0</v>
      </c>
      <c r="Z279" s="61" t="s">
        <v>0</v>
      </c>
      <c r="AA279" s="62" t="str">
        <f t="shared" si="212"/>
        <v>DuctedMiniSplitHeatPump - Ducted mini-split heat pump</v>
      </c>
    </row>
    <row r="280" spans="3:29" x14ac:dyDescent="0.25">
      <c r="C280" s="61">
        <f t="shared" ref="C280:D280" si="252">C279</f>
        <v>2022</v>
      </c>
      <c r="D280" s="6">
        <f t="shared" si="252"/>
        <v>2023</v>
      </c>
      <c r="E280" s="176" t="s">
        <v>687</v>
      </c>
      <c r="F280" s="67" t="s">
        <v>154</v>
      </c>
      <c r="G280" s="191">
        <v>8.8000000000000007</v>
      </c>
      <c r="H280" s="191">
        <v>7.5</v>
      </c>
      <c r="I280" s="191">
        <v>0.85</v>
      </c>
      <c r="J280" s="66" t="s">
        <v>188</v>
      </c>
      <c r="K280" s="72">
        <f t="shared" ref="K280:T280" si="253">K250</f>
        <v>1</v>
      </c>
      <c r="L280" s="61">
        <f t="shared" si="253"/>
        <v>1</v>
      </c>
      <c r="M280" s="61">
        <f t="shared" si="253"/>
        <v>1</v>
      </c>
      <c r="N280" s="61">
        <f t="shared" si="253"/>
        <v>1</v>
      </c>
      <c r="O280" s="61">
        <f t="shared" si="253"/>
        <v>0</v>
      </c>
      <c r="P280" s="105">
        <f t="shared" si="253"/>
        <v>0</v>
      </c>
      <c r="Q280" s="72">
        <f t="shared" si="253"/>
        <v>68</v>
      </c>
      <c r="R280" s="72">
        <f t="shared" si="253"/>
        <v>1</v>
      </c>
      <c r="S280" s="75" t="str">
        <f t="shared" si="253"/>
        <v xml:space="preserve">SplitHeatPump  </v>
      </c>
      <c r="T280" s="62" t="str">
        <f t="shared" si="253"/>
        <v xml:space="preserve">SplitHeatPump  </v>
      </c>
      <c r="U280" s="92">
        <f t="shared" si="249"/>
        <v>0</v>
      </c>
      <c r="V280" s="6">
        <f t="shared" si="250"/>
        <v>1</v>
      </c>
      <c r="W280" s="6">
        <f t="shared" si="222"/>
        <v>1</v>
      </c>
      <c r="X280" s="6">
        <f t="shared" si="251"/>
        <v>0</v>
      </c>
      <c r="Y280" s="48">
        <v>0</v>
      </c>
      <c r="Z280" s="61" t="s">
        <v>0</v>
      </c>
      <c r="AA280" s="62" t="str">
        <f t="shared" si="212"/>
        <v>DuctedMultiSplitHeatPump - Ducted multi-split heat pump</v>
      </c>
    </row>
    <row r="281" spans="3:29" x14ac:dyDescent="0.25">
      <c r="C281" s="61">
        <f t="shared" ref="C281:D281" si="254">C280</f>
        <v>2022</v>
      </c>
      <c r="D281" s="6">
        <f t="shared" si="254"/>
        <v>2023</v>
      </c>
      <c r="E281" s="176" t="s">
        <v>688</v>
      </c>
      <c r="F281" s="67" t="s">
        <v>154</v>
      </c>
      <c r="G281" s="191">
        <v>8.8000000000000007</v>
      </c>
      <c r="H281" s="191">
        <v>7.5</v>
      </c>
      <c r="I281" s="191">
        <v>0.85</v>
      </c>
      <c r="J281" s="66" t="s">
        <v>188</v>
      </c>
      <c r="K281" s="72">
        <f t="shared" ref="K281:T281" si="255">K251</f>
        <v>1</v>
      </c>
      <c r="L281" s="61">
        <f t="shared" si="255"/>
        <v>1</v>
      </c>
      <c r="M281" s="61">
        <f t="shared" si="255"/>
        <v>1</v>
      </c>
      <c r="N281" s="61">
        <f t="shared" si="255"/>
        <v>1</v>
      </c>
      <c r="O281" s="61">
        <f t="shared" si="255"/>
        <v>0</v>
      </c>
      <c r="P281" s="105">
        <f t="shared" si="255"/>
        <v>0</v>
      </c>
      <c r="Q281" s="72">
        <f t="shared" si="255"/>
        <v>68</v>
      </c>
      <c r="R281" s="72">
        <f t="shared" si="255"/>
        <v>1</v>
      </c>
      <c r="S281" s="75" t="str">
        <f t="shared" si="255"/>
        <v xml:space="preserve">SplitHeatPump  </v>
      </c>
      <c r="T281" s="62" t="str">
        <f t="shared" si="255"/>
        <v xml:space="preserve">SplitHeatPump  </v>
      </c>
      <c r="U281" s="92">
        <f t="shared" si="249"/>
        <v>0</v>
      </c>
      <c r="V281" s="6">
        <f t="shared" si="250"/>
        <v>1</v>
      </c>
      <c r="W281" s="6">
        <f t="shared" si="222"/>
        <v>1</v>
      </c>
      <c r="X281" s="6">
        <f t="shared" si="251"/>
        <v>0</v>
      </c>
      <c r="Y281" s="48">
        <v>0</v>
      </c>
      <c r="Z281" s="61" t="s">
        <v>0</v>
      </c>
      <c r="AA281" s="62" t="str">
        <f t="shared" si="212"/>
        <v>Ducted+DuctlessMultiSplitHeatPump - Ducted+ductless multi-split heat pump</v>
      </c>
    </row>
    <row r="282" spans="3:29" x14ac:dyDescent="0.25">
      <c r="C282" s="61">
        <f t="shared" ref="C282:D282" si="256">C281</f>
        <v>2022</v>
      </c>
      <c r="D282" s="6">
        <f t="shared" si="256"/>
        <v>2023</v>
      </c>
      <c r="E282" t="s">
        <v>144</v>
      </c>
      <c r="F282" s="67" t="s">
        <v>154</v>
      </c>
      <c r="G282" s="55">
        <v>8</v>
      </c>
      <c r="H282" s="192">
        <v>6.7</v>
      </c>
      <c r="I282" s="194">
        <v>0.84</v>
      </c>
      <c r="J282" s="66" t="s">
        <v>188</v>
      </c>
      <c r="K282" s="72">
        <f t="shared" ref="K282:T282" si="257">K252</f>
        <v>1</v>
      </c>
      <c r="L282" s="61">
        <f t="shared" si="257"/>
        <v>1</v>
      </c>
      <c r="M282" s="61">
        <f t="shared" si="257"/>
        <v>1</v>
      </c>
      <c r="N282" s="61">
        <f t="shared" si="257"/>
        <v>1</v>
      </c>
      <c r="O282" s="61">
        <f t="shared" si="257"/>
        <v>0</v>
      </c>
      <c r="P282" s="61">
        <f t="shared" si="257"/>
        <v>0</v>
      </c>
      <c r="Q282" s="96">
        <f t="shared" si="257"/>
        <v>68</v>
      </c>
      <c r="R282" s="96">
        <f t="shared" si="257"/>
        <v>0</v>
      </c>
      <c r="S282" s="75" t="str">
        <f t="shared" si="257"/>
        <v xml:space="preserve">SplitHeatPump  </v>
      </c>
      <c r="T282" s="62" t="str">
        <f t="shared" si="257"/>
        <v xml:space="preserve">SplitHeatPump  </v>
      </c>
      <c r="U282" s="92">
        <f t="shared" si="209"/>
        <v>0</v>
      </c>
      <c r="V282" s="6">
        <f t="shared" ref="V282:V291" si="258">IF(AND(ISNUMBER(G282), G282&gt;0), 1, 0)</f>
        <v>1</v>
      </c>
      <c r="W282" s="6">
        <f t="shared" si="222"/>
        <v>1</v>
      </c>
      <c r="X282" s="6">
        <f t="shared" si="211"/>
        <v>0</v>
      </c>
      <c r="Y282" s="48">
        <v>1</v>
      </c>
      <c r="Z282" s="61" t="s">
        <v>0</v>
      </c>
      <c r="AA282" s="62" t="str">
        <f t="shared" si="212"/>
        <v xml:space="preserve">PkgHeatPump - Heating side of central packaged heat pump          </v>
      </c>
    </row>
    <row r="283" spans="3:29" x14ac:dyDescent="0.25">
      <c r="C283" s="61">
        <f t="shared" ref="C283:D283" si="259">C282</f>
        <v>2022</v>
      </c>
      <c r="D283" s="6">
        <f t="shared" si="259"/>
        <v>2023</v>
      </c>
      <c r="E283" t="s">
        <v>145</v>
      </c>
      <c r="F283" s="67" t="s">
        <v>154</v>
      </c>
      <c r="G283" s="11">
        <v>0</v>
      </c>
      <c r="H283" s="11">
        <v>0</v>
      </c>
      <c r="I283" s="11">
        <v>1</v>
      </c>
      <c r="J283" s="66" t="s">
        <v>188</v>
      </c>
      <c r="K283" s="72">
        <f t="shared" ref="K283:T283" si="260">K253</f>
        <v>0</v>
      </c>
      <c r="L283" s="61">
        <f t="shared" si="260"/>
        <v>1</v>
      </c>
      <c r="M283" s="61">
        <f t="shared" si="260"/>
        <v>1</v>
      </c>
      <c r="N283" s="61">
        <f t="shared" si="260"/>
        <v>1</v>
      </c>
      <c r="O283" s="61">
        <f t="shared" si="260"/>
        <v>0</v>
      </c>
      <c r="P283" s="61">
        <f t="shared" si="260"/>
        <v>0</v>
      </c>
      <c r="Q283" s="96">
        <f t="shared" si="260"/>
        <v>68</v>
      </c>
      <c r="R283" s="96">
        <f t="shared" si="260"/>
        <v>0</v>
      </c>
      <c r="S283" s="75" t="str">
        <f t="shared" si="260"/>
        <v xml:space="preserve">SplitHeatPump  </v>
      </c>
      <c r="T283" s="62" t="str">
        <f t="shared" si="260"/>
        <v xml:space="preserve">SplitHeatPump  </v>
      </c>
      <c r="U283" s="92">
        <f t="shared" si="209"/>
        <v>0</v>
      </c>
      <c r="V283" s="6">
        <f t="shared" si="258"/>
        <v>0</v>
      </c>
      <c r="W283" s="6">
        <f t="shared" si="222"/>
        <v>0</v>
      </c>
      <c r="X283" s="6">
        <f t="shared" si="211"/>
        <v>0</v>
      </c>
      <c r="Y283" s="48">
        <v>1</v>
      </c>
      <c r="Z283" s="61" t="s">
        <v>0</v>
      </c>
      <c r="AA283" s="62" t="str">
        <f t="shared" si="212"/>
        <v>LrgPkgHeatPump - Heating side of large (&gt;= 65 kBtuh) packaged unit</v>
      </c>
    </row>
    <row r="284" spans="3:29" x14ac:dyDescent="0.25">
      <c r="C284" s="61">
        <f t="shared" ref="C284:D284" si="261">C283</f>
        <v>2022</v>
      </c>
      <c r="D284" s="6">
        <f t="shared" si="261"/>
        <v>2023</v>
      </c>
      <c r="E284" t="s">
        <v>146</v>
      </c>
      <c r="F284" s="67" t="s">
        <v>154</v>
      </c>
      <c r="G284" s="66" t="s">
        <v>155</v>
      </c>
      <c r="H284" s="66" t="s">
        <v>189</v>
      </c>
      <c r="I284" s="66" t="s">
        <v>189</v>
      </c>
      <c r="J284" s="66" t="s">
        <v>188</v>
      </c>
      <c r="K284" s="72">
        <f t="shared" ref="K284:T284" si="262">K254</f>
        <v>1</v>
      </c>
      <c r="L284" s="61">
        <f t="shared" si="262"/>
        <v>0</v>
      </c>
      <c r="M284" s="61">
        <f t="shared" si="262"/>
        <v>1</v>
      </c>
      <c r="N284" s="61">
        <f t="shared" si="262"/>
        <v>1</v>
      </c>
      <c r="O284" s="61">
        <f t="shared" si="262"/>
        <v>0</v>
      </c>
      <c r="P284" s="61">
        <f t="shared" si="262"/>
        <v>0</v>
      </c>
      <c r="Q284" s="96">
        <f t="shared" si="262"/>
        <v>68</v>
      </c>
      <c r="R284" s="96">
        <f t="shared" si="262"/>
        <v>1</v>
      </c>
      <c r="S284" s="75" t="str">
        <f t="shared" si="262"/>
        <v xml:space="preserve">SplitHeatPump  </v>
      </c>
      <c r="T284" s="62" t="str">
        <f t="shared" si="262"/>
        <v xml:space="preserve">SplitHeatPump  </v>
      </c>
      <c r="U284" s="92">
        <f t="shared" si="209"/>
        <v>0</v>
      </c>
      <c r="V284" s="6">
        <f t="shared" si="258"/>
        <v>0</v>
      </c>
      <c r="W284" s="6">
        <f t="shared" si="222"/>
        <v>0</v>
      </c>
      <c r="X284" s="6">
        <f t="shared" si="211"/>
        <v>0</v>
      </c>
      <c r="Y284" s="48">
        <v>0</v>
      </c>
      <c r="Z284" s="61" t="s">
        <v>0</v>
      </c>
      <c r="AA284" s="62" t="str">
        <f t="shared" si="212"/>
        <v xml:space="preserve">RoomHeatPump - Heating side of non-central room A/C system        </v>
      </c>
    </row>
    <row r="285" spans="3:29" x14ac:dyDescent="0.25">
      <c r="C285" s="61">
        <f t="shared" ref="C285:D285" si="263">C284</f>
        <v>2022</v>
      </c>
      <c r="D285" s="6">
        <f t="shared" si="263"/>
        <v>2023</v>
      </c>
      <c r="E285" t="s">
        <v>147</v>
      </c>
      <c r="F285" s="67" t="s">
        <v>154</v>
      </c>
      <c r="G285" s="191">
        <v>8.8000000000000007</v>
      </c>
      <c r="H285" s="191">
        <v>7.5</v>
      </c>
      <c r="I285" s="191">
        <v>0.85</v>
      </c>
      <c r="J285" s="66" t="s">
        <v>188</v>
      </c>
      <c r="K285" s="72">
        <f t="shared" ref="K285:T285" si="264">K255</f>
        <v>1</v>
      </c>
      <c r="L285" s="61">
        <f t="shared" si="264"/>
        <v>-1</v>
      </c>
      <c r="M285" s="61">
        <f t="shared" si="264"/>
        <v>0</v>
      </c>
      <c r="N285" s="61">
        <f t="shared" si="264"/>
        <v>1</v>
      </c>
      <c r="O285" s="61">
        <f t="shared" si="264"/>
        <v>0</v>
      </c>
      <c r="P285" s="61">
        <f t="shared" si="264"/>
        <v>0</v>
      </c>
      <c r="Q285" s="96">
        <f t="shared" si="264"/>
        <v>-1</v>
      </c>
      <c r="R285" s="96">
        <f t="shared" si="264"/>
        <v>0</v>
      </c>
      <c r="S285" s="75" t="str">
        <f t="shared" si="264"/>
        <v xml:space="preserve">SplitHeatPump  </v>
      </c>
      <c r="T285" s="62" t="str">
        <f t="shared" si="264"/>
        <v xml:space="preserve">SplitHeatPump  </v>
      </c>
      <c r="U285" s="92">
        <f t="shared" si="209"/>
        <v>0</v>
      </c>
      <c r="V285" s="6">
        <f t="shared" si="258"/>
        <v>1</v>
      </c>
      <c r="W285" s="6">
        <f t="shared" si="222"/>
        <v>1</v>
      </c>
      <c r="X285" s="6">
        <f t="shared" si="211"/>
        <v>0</v>
      </c>
      <c r="Y285" s="48">
        <v>0</v>
      </c>
      <c r="Z285" s="61" t="s">
        <v>0</v>
      </c>
      <c r="AA285" s="62" t="str">
        <f t="shared" si="212"/>
        <v xml:space="preserve">Electric - All electric heating systems other than heat pump      </v>
      </c>
    </row>
    <row r="286" spans="3:29" x14ac:dyDescent="0.25">
      <c r="C286" s="61">
        <f t="shared" ref="C286:D286" si="265">C285</f>
        <v>2022</v>
      </c>
      <c r="D286" s="6">
        <f t="shared" si="265"/>
        <v>2023</v>
      </c>
      <c r="E286" t="s">
        <v>148</v>
      </c>
      <c r="F286" s="67" t="s">
        <v>154</v>
      </c>
      <c r="G286" s="66" t="s">
        <v>155</v>
      </c>
      <c r="H286" s="66" t="s">
        <v>189</v>
      </c>
      <c r="I286" s="66" t="s">
        <v>189</v>
      </c>
      <c r="J286" s="66" t="s">
        <v>188</v>
      </c>
      <c r="K286" s="72">
        <f t="shared" ref="K286:T286" si="266">K256</f>
        <v>1</v>
      </c>
      <c r="L286" s="61">
        <f t="shared" si="266"/>
        <v>-1</v>
      </c>
      <c r="M286" s="61">
        <f t="shared" si="266"/>
        <v>0</v>
      </c>
      <c r="N286" s="61">
        <f t="shared" si="266"/>
        <v>0</v>
      </c>
      <c r="O286" s="61">
        <f t="shared" si="266"/>
        <v>1</v>
      </c>
      <c r="P286" s="61">
        <f t="shared" si="266"/>
        <v>0</v>
      </c>
      <c r="Q286" s="96">
        <f t="shared" si="266"/>
        <v>-1</v>
      </c>
      <c r="R286" s="96">
        <f t="shared" si="266"/>
        <v>0</v>
      </c>
      <c r="S286" s="75" t="str">
        <f t="shared" si="266"/>
        <v xml:space="preserve">CntrlFurnace   </v>
      </c>
      <c r="T286" s="62" t="str">
        <f t="shared" si="266"/>
        <v xml:space="preserve">CntrlFurnace   </v>
      </c>
      <c r="U286" s="92">
        <f t="shared" si="209"/>
        <v>0</v>
      </c>
      <c r="V286" s="6">
        <f t="shared" si="258"/>
        <v>0</v>
      </c>
      <c r="W286" s="6">
        <f t="shared" si="222"/>
        <v>0</v>
      </c>
      <c r="X286" s="6">
        <f t="shared" si="211"/>
        <v>0</v>
      </c>
      <c r="Y286" s="48">
        <v>1</v>
      </c>
      <c r="Z286" s="61" t="s">
        <v>0</v>
      </c>
      <c r="AA286" s="62" t="str">
        <f t="shared" si="212"/>
        <v xml:space="preserve">CombHydro - Water heating system can be storage gas/elec/ht pump  </v>
      </c>
    </row>
    <row r="287" spans="3:29" x14ac:dyDescent="0.25">
      <c r="C287" s="61">
        <f t="shared" ref="C287:D287" si="267">C286</f>
        <v>2022</v>
      </c>
      <c r="D287" s="6">
        <f t="shared" si="267"/>
        <v>2023</v>
      </c>
      <c r="E287" t="s">
        <v>510</v>
      </c>
      <c r="F287" s="67" t="s">
        <v>154</v>
      </c>
      <c r="G287" s="66" t="s">
        <v>155</v>
      </c>
      <c r="H287" s="66" t="s">
        <v>189</v>
      </c>
      <c r="I287" s="66" t="s">
        <v>189</v>
      </c>
      <c r="J287" s="66" t="s">
        <v>188</v>
      </c>
      <c r="K287" s="72">
        <f t="shared" ref="K287:T287" si="268">K257</f>
        <v>1</v>
      </c>
      <c r="L287" s="61">
        <f t="shared" si="268"/>
        <v>-1</v>
      </c>
      <c r="M287" s="61">
        <f t="shared" si="268"/>
        <v>0</v>
      </c>
      <c r="N287" s="61">
        <f t="shared" si="268"/>
        <v>1</v>
      </c>
      <c r="O287" s="61">
        <f t="shared" si="268"/>
        <v>0</v>
      </c>
      <c r="P287" s="61">
        <f t="shared" si="268"/>
        <v>0</v>
      </c>
      <c r="Q287" s="96">
        <f t="shared" si="268"/>
        <v>-1</v>
      </c>
      <c r="R287" s="96">
        <f t="shared" si="268"/>
        <v>0</v>
      </c>
      <c r="S287" s="75" t="str">
        <f t="shared" si="268"/>
        <v xml:space="preserve">SplitHeatPump  </v>
      </c>
      <c r="T287" s="62" t="str">
        <f t="shared" si="268"/>
        <v xml:space="preserve">SplitHeatPump  </v>
      </c>
      <c r="U287" s="92">
        <f t="shared" si="209"/>
        <v>0</v>
      </c>
      <c r="V287" s="6">
        <f t="shared" si="258"/>
        <v>0</v>
      </c>
      <c r="W287" s="6">
        <f t="shared" si="222"/>
        <v>0</v>
      </c>
      <c r="X287" s="6">
        <f t="shared" si="211"/>
        <v>0</v>
      </c>
      <c r="Y287" s="48">
        <v>1</v>
      </c>
      <c r="Z287" s="61" t="s">
        <v>0</v>
      </c>
      <c r="AA287" s="62" t="str">
        <f t="shared" si="212"/>
        <v xml:space="preserve">CombHydro - Water heating system can be storage gas/elec/ht pump  </v>
      </c>
    </row>
    <row r="288" spans="3:29" x14ac:dyDescent="0.25">
      <c r="C288" s="61">
        <f t="shared" ref="C288:D288" si="269">C287</f>
        <v>2022</v>
      </c>
      <c r="D288" s="6">
        <f t="shared" si="269"/>
        <v>2023</v>
      </c>
      <c r="E288" t="s">
        <v>367</v>
      </c>
      <c r="F288" s="67" t="s">
        <v>154</v>
      </c>
      <c r="G288" s="191">
        <v>8.8000000000000007</v>
      </c>
      <c r="H288" s="191">
        <v>7.5</v>
      </c>
      <c r="I288" s="191">
        <v>0.85</v>
      </c>
      <c r="J288" s="66" t="s">
        <v>188</v>
      </c>
      <c r="K288" s="72">
        <f t="shared" ref="K288:T288" si="270">K258</f>
        <v>1</v>
      </c>
      <c r="L288" s="61">
        <f t="shared" si="270"/>
        <v>-1</v>
      </c>
      <c r="M288" s="61">
        <f t="shared" si="270"/>
        <v>1</v>
      </c>
      <c r="N288" s="61">
        <f t="shared" si="270"/>
        <v>1</v>
      </c>
      <c r="O288" s="61">
        <f t="shared" si="270"/>
        <v>0</v>
      </c>
      <c r="P288" s="61">
        <f t="shared" si="270"/>
        <v>1</v>
      </c>
      <c r="Q288" s="96">
        <f t="shared" si="270"/>
        <v>68</v>
      </c>
      <c r="R288" s="96">
        <f t="shared" si="270"/>
        <v>0</v>
      </c>
      <c r="S288" s="75" t="str">
        <f t="shared" si="270"/>
        <v xml:space="preserve">SplitHeatPump  </v>
      </c>
      <c r="T288" s="62" t="str">
        <f t="shared" si="270"/>
        <v xml:space="preserve">SplitHeatPump  </v>
      </c>
      <c r="U288" s="92">
        <f t="shared" si="209"/>
        <v>0</v>
      </c>
      <c r="V288" s="6">
        <f t="shared" si="258"/>
        <v>1</v>
      </c>
      <c r="W288" s="6">
        <f t="shared" si="222"/>
        <v>1</v>
      </c>
      <c r="X288" s="6">
        <f t="shared" si="211"/>
        <v>0</v>
      </c>
      <c r="Y288" s="48">
        <v>1</v>
      </c>
      <c r="Z288" s="61" t="s">
        <v>0</v>
      </c>
      <c r="AA288" s="62" t="str">
        <f t="shared" si="212"/>
        <v>AirToWaterHeatPump - Air to water heat pump (able to heat DHW)</v>
      </c>
    </row>
    <row r="289" spans="1:29" x14ac:dyDescent="0.25">
      <c r="C289" s="61">
        <f t="shared" ref="C289:D289" si="271">C288</f>
        <v>2022</v>
      </c>
      <c r="D289" s="6">
        <f t="shared" si="271"/>
        <v>2023</v>
      </c>
      <c r="E289" t="s">
        <v>801</v>
      </c>
      <c r="F289" s="67" t="s">
        <v>154</v>
      </c>
      <c r="G289" s="191">
        <v>8.8000000000000007</v>
      </c>
      <c r="H289" s="191">
        <v>7.5</v>
      </c>
      <c r="I289" s="191">
        <v>0.85</v>
      </c>
      <c r="J289" s="66" t="s">
        <v>188</v>
      </c>
      <c r="K289" s="70">
        <v>1</v>
      </c>
      <c r="L289" s="48">
        <v>1</v>
      </c>
      <c r="M289" s="48">
        <v>1</v>
      </c>
      <c r="N289" s="48">
        <v>1</v>
      </c>
      <c r="O289" s="48">
        <v>0</v>
      </c>
      <c r="P289" s="48">
        <v>1</v>
      </c>
      <c r="Q289" s="181">
        <v>68</v>
      </c>
      <c r="R289" s="181">
        <v>0</v>
      </c>
      <c r="S289" s="97" t="s">
        <v>143</v>
      </c>
      <c r="T289" s="54" t="s">
        <v>143</v>
      </c>
      <c r="U289" s="70">
        <v>0</v>
      </c>
      <c r="V289" s="48">
        <v>1</v>
      </c>
      <c r="W289" s="48">
        <v>1</v>
      </c>
      <c r="X289" s="48">
        <v>0</v>
      </c>
      <c r="Y289" s="48">
        <v>1</v>
      </c>
      <c r="Z289" s="61" t="s">
        <v>0</v>
      </c>
      <c r="AA289" s="54" t="s">
        <v>802</v>
      </c>
      <c r="AC289" t="s">
        <v>803</v>
      </c>
    </row>
    <row r="290" spans="1:29" x14ac:dyDescent="0.25">
      <c r="C290" s="61">
        <f t="shared" ref="C290:D290" si="272">C289</f>
        <v>2022</v>
      </c>
      <c r="D290" s="6">
        <f t="shared" si="272"/>
        <v>2023</v>
      </c>
      <c r="E290" t="s">
        <v>366</v>
      </c>
      <c r="F290" s="67" t="s">
        <v>154</v>
      </c>
      <c r="G290" s="191">
        <v>8.8000000000000007</v>
      </c>
      <c r="H290" s="191">
        <v>7.5</v>
      </c>
      <c r="I290" s="191">
        <v>0.85</v>
      </c>
      <c r="J290" s="66" t="s">
        <v>188</v>
      </c>
      <c r="K290" s="72">
        <f t="shared" ref="K290:T290" si="273">K259</f>
        <v>1</v>
      </c>
      <c r="L290" s="61">
        <f t="shared" si="273"/>
        <v>-1</v>
      </c>
      <c r="M290" s="61">
        <f t="shared" si="273"/>
        <v>1</v>
      </c>
      <c r="N290" s="61">
        <f t="shared" si="273"/>
        <v>1</v>
      </c>
      <c r="O290" s="61">
        <f t="shared" si="273"/>
        <v>0</v>
      </c>
      <c r="P290" s="61">
        <f t="shared" si="273"/>
        <v>1</v>
      </c>
      <c r="Q290" s="96">
        <f t="shared" si="273"/>
        <v>68</v>
      </c>
      <c r="R290" s="96">
        <f t="shared" si="273"/>
        <v>1</v>
      </c>
      <c r="S290" s="75" t="str">
        <f t="shared" si="273"/>
        <v xml:space="preserve">SplitHeatPump  </v>
      </c>
      <c r="T290" s="62" t="str">
        <f t="shared" si="273"/>
        <v xml:space="preserve">SplitHeatPump  </v>
      </c>
      <c r="U290" s="92">
        <f t="shared" si="209"/>
        <v>0</v>
      </c>
      <c r="V290" s="6">
        <f t="shared" si="258"/>
        <v>1</v>
      </c>
      <c r="W290" s="6">
        <f t="shared" si="222"/>
        <v>1</v>
      </c>
      <c r="X290" s="6">
        <f t="shared" si="211"/>
        <v>0</v>
      </c>
      <c r="Y290" s="48">
        <v>1</v>
      </c>
      <c r="Z290" s="61" t="s">
        <v>0</v>
      </c>
      <c r="AA290" s="62" t="str">
        <f>AA259</f>
        <v>GroundSourceHeatPump - Ground source heat pump (able to heat DHW)</v>
      </c>
    </row>
    <row r="291" spans="1:29" x14ac:dyDescent="0.25">
      <c r="C291" s="61">
        <f t="shared" ref="C291:D293" si="274">C290</f>
        <v>2022</v>
      </c>
      <c r="D291" s="6">
        <f t="shared" si="274"/>
        <v>2023</v>
      </c>
      <c r="E291" t="s">
        <v>549</v>
      </c>
      <c r="F291" s="67" t="s">
        <v>154</v>
      </c>
      <c r="G291" s="191">
        <v>8.8000000000000007</v>
      </c>
      <c r="H291" s="191">
        <v>7.5</v>
      </c>
      <c r="I291" s="191">
        <v>0.85</v>
      </c>
      <c r="J291" s="66" t="s">
        <v>188</v>
      </c>
      <c r="K291" s="72">
        <f t="shared" ref="K291:T291" si="275">K260</f>
        <v>1</v>
      </c>
      <c r="L291" s="61">
        <f t="shared" si="275"/>
        <v>-1</v>
      </c>
      <c r="M291" s="61">
        <f t="shared" si="275"/>
        <v>1</v>
      </c>
      <c r="N291" s="61">
        <f t="shared" si="275"/>
        <v>1</v>
      </c>
      <c r="O291" s="61">
        <f t="shared" si="275"/>
        <v>0</v>
      </c>
      <c r="P291" s="61">
        <f t="shared" si="275"/>
        <v>0</v>
      </c>
      <c r="Q291" s="96">
        <f t="shared" si="275"/>
        <v>68</v>
      </c>
      <c r="R291" s="96">
        <f t="shared" si="275"/>
        <v>0</v>
      </c>
      <c r="S291" s="75" t="str">
        <f t="shared" si="275"/>
        <v xml:space="preserve">SplitHeatPump  </v>
      </c>
      <c r="T291" s="62" t="str">
        <f t="shared" si="275"/>
        <v xml:space="preserve">SplitHeatPump  </v>
      </c>
      <c r="U291" s="92">
        <f t="shared" si="209"/>
        <v>0</v>
      </c>
      <c r="V291" s="6">
        <f t="shared" si="258"/>
        <v>1</v>
      </c>
      <c r="W291" s="6">
        <f t="shared" si="222"/>
        <v>1</v>
      </c>
      <c r="X291" s="6">
        <f t="shared" si="211"/>
        <v>0</v>
      </c>
      <c r="Y291" s="48">
        <v>1</v>
      </c>
      <c r="Z291" s="61" t="s">
        <v>0</v>
      </c>
      <c r="AA291" s="62" t="str">
        <f>AA260</f>
        <v>VCHP - Variable Capacity Heat Pump</v>
      </c>
      <c r="AC291" t="s">
        <v>551</v>
      </c>
    </row>
    <row r="292" spans="1:29" x14ac:dyDescent="0.25">
      <c r="C292" s="61">
        <f t="shared" si="274"/>
        <v>2022</v>
      </c>
      <c r="D292" s="6">
        <f t="shared" si="274"/>
        <v>2023</v>
      </c>
      <c r="E292" t="s">
        <v>728</v>
      </c>
      <c r="F292" s="67" t="s">
        <v>154</v>
      </c>
      <c r="G292" s="10">
        <v>9</v>
      </c>
      <c r="H292" s="189">
        <f>G292*0.85</f>
        <v>7.6499999999999995</v>
      </c>
      <c r="I292" s="191">
        <v>0.85</v>
      </c>
      <c r="J292" s="10">
        <v>2.98</v>
      </c>
      <c r="K292" s="72">
        <f t="shared" ref="K292:T292" si="276">K261</f>
        <v>1</v>
      </c>
      <c r="L292" s="61">
        <f t="shared" si="276"/>
        <v>-1</v>
      </c>
      <c r="M292" s="61">
        <f t="shared" si="276"/>
        <v>1</v>
      </c>
      <c r="N292" s="61">
        <f t="shared" si="276"/>
        <v>1</v>
      </c>
      <c r="O292" s="61">
        <f t="shared" si="276"/>
        <v>0</v>
      </c>
      <c r="P292" s="61">
        <f t="shared" si="276"/>
        <v>0</v>
      </c>
      <c r="Q292" s="96">
        <f t="shared" si="276"/>
        <v>68</v>
      </c>
      <c r="R292" s="96">
        <f t="shared" si="276"/>
        <v>0</v>
      </c>
      <c r="S292" s="75" t="str">
        <f t="shared" si="276"/>
        <v xml:space="preserve">SplitHeatPump  </v>
      </c>
      <c r="T292" s="62" t="str">
        <f t="shared" si="276"/>
        <v xml:space="preserve">SplitHeatPump  </v>
      </c>
      <c r="U292" s="92">
        <f t="shared" ref="U292" si="277">IF(AND(ISNUMBER(F292), F292&gt;0), 1, 0)</f>
        <v>0</v>
      </c>
      <c r="V292" s="6">
        <f t="shared" ref="V292" si="278">IF(AND(ISNUMBER(G292), G292&gt;0), 1, 0)</f>
        <v>1</v>
      </c>
      <c r="W292" s="6">
        <f t="shared" si="222"/>
        <v>1</v>
      </c>
      <c r="X292" s="6">
        <f t="shared" ref="X292" si="279">IF(AND(ISNUMBER(J292), J292&gt;0), 1, 0)</f>
        <v>1</v>
      </c>
      <c r="Y292" s="48">
        <v>1</v>
      </c>
      <c r="Z292" s="61" t="s">
        <v>0</v>
      </c>
      <c r="AA292" s="62" t="str">
        <f>AA261</f>
        <v>VCHP2 - Variable Capacity Heat Pump</v>
      </c>
      <c r="AC292" t="s">
        <v>551</v>
      </c>
    </row>
    <row r="293" spans="1:29" x14ac:dyDescent="0.25">
      <c r="C293" s="61">
        <f t="shared" si="274"/>
        <v>2022</v>
      </c>
      <c r="D293" s="6">
        <f t="shared" si="274"/>
        <v>2023</v>
      </c>
      <c r="E293" t="s">
        <v>1065</v>
      </c>
      <c r="F293" s="67" t="s">
        <v>154</v>
      </c>
      <c r="G293" s="10">
        <v>9</v>
      </c>
      <c r="H293" s="189">
        <f>G293*0.85</f>
        <v>7.6499999999999995</v>
      </c>
      <c r="I293" s="191">
        <v>0.85</v>
      </c>
      <c r="J293" s="66" t="s">
        <v>188</v>
      </c>
      <c r="K293" s="72">
        <f t="shared" ref="K293:T293" si="280">K262</f>
        <v>1</v>
      </c>
      <c r="L293" s="61">
        <f t="shared" si="280"/>
        <v>-1</v>
      </c>
      <c r="M293" s="61">
        <f t="shared" si="280"/>
        <v>1</v>
      </c>
      <c r="N293" s="61">
        <f t="shared" si="280"/>
        <v>1</v>
      </c>
      <c r="O293" s="61">
        <f t="shared" si="280"/>
        <v>0</v>
      </c>
      <c r="P293" s="61">
        <f t="shared" si="280"/>
        <v>0</v>
      </c>
      <c r="Q293" s="96">
        <f t="shared" si="280"/>
        <v>68</v>
      </c>
      <c r="R293" s="96">
        <f t="shared" si="280"/>
        <v>0</v>
      </c>
      <c r="S293" s="75" t="str">
        <f t="shared" si="280"/>
        <v xml:space="preserve">SplitHeatPump  </v>
      </c>
      <c r="T293" s="62" t="str">
        <f t="shared" si="280"/>
        <v xml:space="preserve">SplitHeatPump  </v>
      </c>
      <c r="U293" s="92">
        <f t="shared" ref="U293" si="281">IF(AND(ISNUMBER(F293), F293&gt;0), 1, 0)</f>
        <v>0</v>
      </c>
      <c r="V293" s="6">
        <f t="shared" ref="V293" si="282">IF(AND(ISNUMBER(G293), G293&gt;0), 1, 0)</f>
        <v>1</v>
      </c>
      <c r="W293" s="6">
        <f t="shared" ref="W293" si="283">IF(AND(ISNUMBER(H293), H293&gt;0), 1, 0)</f>
        <v>1</v>
      </c>
      <c r="X293" s="6">
        <f t="shared" ref="X293" si="284">IF(AND(ISNUMBER(J293), J293&gt;0), 1, 0)</f>
        <v>0</v>
      </c>
      <c r="Y293" s="48">
        <v>1</v>
      </c>
      <c r="Z293" s="61" t="s">
        <v>0</v>
      </c>
      <c r="AA293" s="62" t="str">
        <f>AA262</f>
        <v>VCHP3</v>
      </c>
      <c r="AC293" t="s">
        <v>551</v>
      </c>
    </row>
    <row r="294" spans="1:29" x14ac:dyDescent="0.25">
      <c r="A294" t="s">
        <v>764</v>
      </c>
      <c r="D294" s="126"/>
      <c r="E294" s="126"/>
      <c r="F294" s="126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6"/>
    </row>
    <row r="295" spans="1:29" x14ac:dyDescent="0.25">
      <c r="C295" s="60">
        <v>2025</v>
      </c>
      <c r="D295" s="60">
        <v>2026</v>
      </c>
      <c r="E295" t="s">
        <v>141</v>
      </c>
      <c r="F295" s="50">
        <v>80</v>
      </c>
      <c r="G295" s="66" t="s">
        <v>155</v>
      </c>
      <c r="H295" s="66" t="s">
        <v>189</v>
      </c>
      <c r="I295" s="66" t="s">
        <v>189</v>
      </c>
      <c r="J295" s="66" t="s">
        <v>188</v>
      </c>
      <c r="K295" s="128">
        <f t="shared" ref="K295:T295" si="285">K264</f>
        <v>1</v>
      </c>
      <c r="L295" s="129">
        <f t="shared" si="285"/>
        <v>1</v>
      </c>
      <c r="M295" s="129">
        <f t="shared" si="285"/>
        <v>0</v>
      </c>
      <c r="N295" s="129">
        <f t="shared" si="285"/>
        <v>0</v>
      </c>
      <c r="O295" s="129">
        <f t="shared" si="285"/>
        <v>1</v>
      </c>
      <c r="P295" s="130">
        <f t="shared" si="285"/>
        <v>0</v>
      </c>
      <c r="Q295" s="72">
        <f t="shared" si="285"/>
        <v>-1</v>
      </c>
      <c r="R295" s="72">
        <f t="shared" si="285"/>
        <v>0</v>
      </c>
      <c r="S295" s="75" t="str">
        <f t="shared" si="285"/>
        <v xml:space="preserve">CntrlFurnace   </v>
      </c>
      <c r="T295" s="62" t="str">
        <f t="shared" si="285"/>
        <v xml:space="preserve">CntrlFurnace   </v>
      </c>
      <c r="U295" s="92">
        <f t="shared" ref="U295:U323" si="286">IF(AND(ISNUMBER(F295), F295&gt;0), 1, 0)</f>
        <v>1</v>
      </c>
      <c r="V295" s="6">
        <f t="shared" ref="V295:V299" si="287">IF(AND(ISNUMBER(G295), G295&gt;0), 1, 0)</f>
        <v>0</v>
      </c>
      <c r="W295" s="6">
        <f t="shared" ref="W295:W323" si="288">IF(AND(ISNUMBER(H295), H295&gt;0), 1, 0)</f>
        <v>0</v>
      </c>
      <c r="X295" s="6">
        <f t="shared" ref="X295:X323" si="289">IF(AND(ISNUMBER(J295), J295&gt;0), 1, 0)</f>
        <v>0</v>
      </c>
      <c r="Y295" s="48">
        <v>1</v>
      </c>
      <c r="Z295" s="61" t="s">
        <v>0</v>
      </c>
      <c r="AA295" s="62" t="str">
        <f t="shared" ref="AA295:AA324" si="290">AA264</f>
        <v xml:space="preserve">CntrlFurnace - Fuel-fired central furnace                         </v>
      </c>
    </row>
    <row r="296" spans="1:29" x14ac:dyDescent="0.25">
      <c r="C296" s="61">
        <f>C295</f>
        <v>2025</v>
      </c>
      <c r="D296" s="6">
        <f>D295</f>
        <v>2026</v>
      </c>
      <c r="E296" t="s">
        <v>385</v>
      </c>
      <c r="F296" s="63">
        <v>73</v>
      </c>
      <c r="G296" s="66" t="s">
        <v>155</v>
      </c>
      <c r="H296" s="66" t="s">
        <v>189</v>
      </c>
      <c r="I296" s="66" t="s">
        <v>189</v>
      </c>
      <c r="J296" s="66" t="s">
        <v>188</v>
      </c>
      <c r="K296" s="72">
        <f t="shared" ref="K296:T296" si="291">K265</f>
        <v>1</v>
      </c>
      <c r="L296" s="61">
        <f t="shared" si="291"/>
        <v>0</v>
      </c>
      <c r="M296" s="61">
        <f t="shared" si="291"/>
        <v>0</v>
      </c>
      <c r="N296" s="61">
        <f t="shared" si="291"/>
        <v>0</v>
      </c>
      <c r="O296" s="61">
        <f t="shared" si="291"/>
        <v>1</v>
      </c>
      <c r="P296" s="105">
        <f t="shared" si="291"/>
        <v>0</v>
      </c>
      <c r="Q296" s="72">
        <f t="shared" si="291"/>
        <v>-1</v>
      </c>
      <c r="R296" s="72">
        <f t="shared" si="291"/>
        <v>0</v>
      </c>
      <c r="S296" s="75" t="str">
        <f t="shared" si="291"/>
        <v xml:space="preserve">CntrlFurnace   </v>
      </c>
      <c r="T296" s="62" t="str">
        <f t="shared" si="291"/>
        <v xml:space="preserve">CntrlFurnace   </v>
      </c>
      <c r="U296" s="92">
        <f t="shared" si="286"/>
        <v>1</v>
      </c>
      <c r="V296" s="6">
        <f t="shared" si="287"/>
        <v>0</v>
      </c>
      <c r="W296" s="6">
        <f t="shared" si="288"/>
        <v>0</v>
      </c>
      <c r="X296" s="6">
        <f t="shared" si="289"/>
        <v>0</v>
      </c>
      <c r="Y296" s="48">
        <v>1</v>
      </c>
      <c r="Z296" s="61" t="s">
        <v>0</v>
      </c>
      <c r="AA296" s="62" t="str">
        <f t="shared" si="290"/>
        <v>WallFurnaceFan - Ductless fan forced wall furnace</v>
      </c>
    </row>
    <row r="297" spans="1:29" x14ac:dyDescent="0.25">
      <c r="C297" s="61">
        <f t="shared" ref="C297:D297" si="292">C296</f>
        <v>2025</v>
      </c>
      <c r="D297" s="6">
        <f t="shared" si="292"/>
        <v>2026</v>
      </c>
      <c r="E297" t="s">
        <v>386</v>
      </c>
      <c r="F297" s="63">
        <v>59</v>
      </c>
      <c r="G297" s="66" t="s">
        <v>155</v>
      </c>
      <c r="H297" s="66" t="s">
        <v>189</v>
      </c>
      <c r="I297" s="66" t="s">
        <v>189</v>
      </c>
      <c r="J297" s="66" t="s">
        <v>188</v>
      </c>
      <c r="K297" s="72">
        <f t="shared" ref="K297:T297" si="293">K266</f>
        <v>1</v>
      </c>
      <c r="L297" s="61">
        <f t="shared" si="293"/>
        <v>0</v>
      </c>
      <c r="M297" s="61">
        <f t="shared" si="293"/>
        <v>0</v>
      </c>
      <c r="N297" s="61">
        <f t="shared" si="293"/>
        <v>0</v>
      </c>
      <c r="O297" s="61">
        <f t="shared" si="293"/>
        <v>1</v>
      </c>
      <c r="P297" s="105">
        <f t="shared" si="293"/>
        <v>0</v>
      </c>
      <c r="Q297" s="72">
        <f t="shared" si="293"/>
        <v>-1</v>
      </c>
      <c r="R297" s="72">
        <f t="shared" si="293"/>
        <v>0</v>
      </c>
      <c r="S297" s="75" t="str">
        <f t="shared" si="293"/>
        <v xml:space="preserve">CntrlFurnace   </v>
      </c>
      <c r="T297" s="62" t="str">
        <f t="shared" si="293"/>
        <v xml:space="preserve">CntrlFurnace   </v>
      </c>
      <c r="U297" s="92">
        <f t="shared" si="286"/>
        <v>1</v>
      </c>
      <c r="V297" s="6">
        <f t="shared" si="287"/>
        <v>0</v>
      </c>
      <c r="W297" s="6">
        <f t="shared" si="288"/>
        <v>0</v>
      </c>
      <c r="X297" s="6">
        <f t="shared" si="289"/>
        <v>0</v>
      </c>
      <c r="Y297" s="48">
        <v>0</v>
      </c>
      <c r="Z297" s="61" t="s">
        <v>0</v>
      </c>
      <c r="AA297" s="62" t="str">
        <f t="shared" si="290"/>
        <v>WallFurnaceGravity - Ductless gravity flowed wall furnace</v>
      </c>
    </row>
    <row r="298" spans="1:29" x14ac:dyDescent="0.25">
      <c r="C298" s="61">
        <f t="shared" ref="C298:D298" si="294">C297</f>
        <v>2025</v>
      </c>
      <c r="D298" s="6">
        <f t="shared" si="294"/>
        <v>2026</v>
      </c>
      <c r="E298" t="s">
        <v>383</v>
      </c>
      <c r="F298" s="63">
        <v>56</v>
      </c>
      <c r="G298" s="66" t="s">
        <v>155</v>
      </c>
      <c r="H298" s="66" t="s">
        <v>189</v>
      </c>
      <c r="I298" s="66" t="s">
        <v>189</v>
      </c>
      <c r="J298" s="66" t="s">
        <v>188</v>
      </c>
      <c r="K298" s="72">
        <f t="shared" ref="K298:T298" si="295">K267</f>
        <v>1</v>
      </c>
      <c r="L298" s="61">
        <f t="shared" si="295"/>
        <v>0</v>
      </c>
      <c r="M298" s="61">
        <f t="shared" si="295"/>
        <v>0</v>
      </c>
      <c r="N298" s="61">
        <f t="shared" si="295"/>
        <v>0</v>
      </c>
      <c r="O298" s="61">
        <f t="shared" si="295"/>
        <v>1</v>
      </c>
      <c r="P298" s="105">
        <f t="shared" si="295"/>
        <v>0</v>
      </c>
      <c r="Q298" s="72">
        <f t="shared" si="295"/>
        <v>-1</v>
      </c>
      <c r="R298" s="72">
        <f t="shared" si="295"/>
        <v>0</v>
      </c>
      <c r="S298" s="75" t="str">
        <f t="shared" si="295"/>
        <v xml:space="preserve">CntrlFurnace   </v>
      </c>
      <c r="T298" s="62" t="str">
        <f t="shared" si="295"/>
        <v xml:space="preserve">CntrlFurnace   </v>
      </c>
      <c r="U298" s="92">
        <f t="shared" si="286"/>
        <v>1</v>
      </c>
      <c r="V298" s="6">
        <f t="shared" si="287"/>
        <v>0</v>
      </c>
      <c r="W298" s="6">
        <f t="shared" si="288"/>
        <v>0</v>
      </c>
      <c r="X298" s="6">
        <f t="shared" si="289"/>
        <v>0</v>
      </c>
      <c r="Y298" s="48">
        <v>0</v>
      </c>
      <c r="Z298" s="61" t="s">
        <v>0</v>
      </c>
      <c r="AA298" s="62" t="str">
        <f t="shared" si="290"/>
        <v>FloorFurnace - Ductless floor heating system</v>
      </c>
    </row>
    <row r="299" spans="1:29" x14ac:dyDescent="0.25">
      <c r="C299" s="61">
        <f t="shared" ref="C299:D299" si="296">C298</f>
        <v>2025</v>
      </c>
      <c r="D299" s="6">
        <f t="shared" si="296"/>
        <v>2026</v>
      </c>
      <c r="E299" s="176" t="s">
        <v>675</v>
      </c>
      <c r="F299" s="180">
        <v>81</v>
      </c>
      <c r="G299" s="66" t="s">
        <v>155</v>
      </c>
      <c r="H299" s="66" t="s">
        <v>189</v>
      </c>
      <c r="I299" s="66" t="s">
        <v>189</v>
      </c>
      <c r="J299" s="66" t="s">
        <v>188</v>
      </c>
      <c r="K299" s="72">
        <f t="shared" ref="K299:T299" si="297">K268</f>
        <v>1</v>
      </c>
      <c r="L299" s="61">
        <f t="shared" si="297"/>
        <v>1</v>
      </c>
      <c r="M299" s="61">
        <f t="shared" si="297"/>
        <v>0</v>
      </c>
      <c r="N299" s="61">
        <f t="shared" si="297"/>
        <v>0</v>
      </c>
      <c r="O299" s="61">
        <f t="shared" si="297"/>
        <v>1</v>
      </c>
      <c r="P299" s="105">
        <f t="shared" si="297"/>
        <v>0</v>
      </c>
      <c r="Q299" s="72">
        <f t="shared" si="297"/>
        <v>-1</v>
      </c>
      <c r="R299" s="72">
        <f t="shared" si="297"/>
        <v>0</v>
      </c>
      <c r="S299" s="75" t="str">
        <f t="shared" si="297"/>
        <v xml:space="preserve">CntrlFurnace   </v>
      </c>
      <c r="T299" s="62" t="str">
        <f t="shared" si="297"/>
        <v xml:space="preserve">CntrlFurnace   </v>
      </c>
      <c r="U299" s="92">
        <f t="shared" si="286"/>
        <v>1</v>
      </c>
      <c r="V299" s="6">
        <f t="shared" si="287"/>
        <v>0</v>
      </c>
      <c r="W299" s="6">
        <f t="shared" si="288"/>
        <v>0</v>
      </c>
      <c r="X299" s="6">
        <f t="shared" si="289"/>
        <v>0</v>
      </c>
      <c r="Y299" s="48">
        <v>1</v>
      </c>
      <c r="Z299" s="61" t="s">
        <v>0</v>
      </c>
      <c r="AA299" s="62" t="str">
        <f t="shared" si="290"/>
        <v>PkgGasFurnace - Packaged gas furnace</v>
      </c>
    </row>
    <row r="300" spans="1:29" x14ac:dyDescent="0.25">
      <c r="C300" s="61">
        <f t="shared" ref="C300:D300" si="298">C299</f>
        <v>2025</v>
      </c>
      <c r="D300" s="6">
        <f t="shared" si="298"/>
        <v>2026</v>
      </c>
      <c r="E300" t="s">
        <v>384</v>
      </c>
      <c r="F300" s="63">
        <v>57</v>
      </c>
      <c r="G300" s="66" t="s">
        <v>155</v>
      </c>
      <c r="H300" s="66" t="s">
        <v>189</v>
      </c>
      <c r="I300" s="66" t="s">
        <v>189</v>
      </c>
      <c r="J300" s="66" t="s">
        <v>188</v>
      </c>
      <c r="K300" s="72">
        <f t="shared" ref="K300:T300" si="299">K269</f>
        <v>1</v>
      </c>
      <c r="L300" s="61">
        <f t="shared" si="299"/>
        <v>0</v>
      </c>
      <c r="M300" s="61">
        <f t="shared" si="299"/>
        <v>0</v>
      </c>
      <c r="N300" s="61">
        <f t="shared" si="299"/>
        <v>0</v>
      </c>
      <c r="O300" s="61">
        <f t="shared" si="299"/>
        <v>1</v>
      </c>
      <c r="P300" s="105">
        <f t="shared" si="299"/>
        <v>0</v>
      </c>
      <c r="Q300" s="72">
        <f t="shared" si="299"/>
        <v>-1</v>
      </c>
      <c r="R300" s="72">
        <f t="shared" si="299"/>
        <v>0</v>
      </c>
      <c r="S300" s="75" t="str">
        <f t="shared" si="299"/>
        <v xml:space="preserve">CntrlFurnace   </v>
      </c>
      <c r="T300" s="62" t="str">
        <f t="shared" si="299"/>
        <v xml:space="preserve">CntrlFurnace   </v>
      </c>
      <c r="U300" s="92">
        <f t="shared" si="286"/>
        <v>1</v>
      </c>
      <c r="V300" s="6">
        <f>IF(AND(ISNUMBER(G300), G300&gt;0), 1, 0)</f>
        <v>0</v>
      </c>
      <c r="W300" s="6">
        <f t="shared" si="288"/>
        <v>0</v>
      </c>
      <c r="X300" s="6">
        <f t="shared" si="289"/>
        <v>0</v>
      </c>
      <c r="Y300" s="48">
        <v>0</v>
      </c>
      <c r="Z300" s="61" t="s">
        <v>0</v>
      </c>
      <c r="AA300" s="62" t="str">
        <f t="shared" si="290"/>
        <v xml:space="preserve">Heater - Non-central fuel-fired space heater                      </v>
      </c>
    </row>
    <row r="301" spans="1:29" x14ac:dyDescent="0.25">
      <c r="C301" s="61">
        <f t="shared" ref="C301:D301" si="300">C300</f>
        <v>2025</v>
      </c>
      <c r="D301" s="6">
        <f t="shared" si="300"/>
        <v>2026</v>
      </c>
      <c r="E301" t="s">
        <v>142</v>
      </c>
      <c r="F301" s="51">
        <v>80</v>
      </c>
      <c r="G301" s="66" t="s">
        <v>155</v>
      </c>
      <c r="H301" s="66" t="s">
        <v>189</v>
      </c>
      <c r="I301" s="66" t="s">
        <v>189</v>
      </c>
      <c r="J301" s="66" t="s">
        <v>188</v>
      </c>
      <c r="K301" s="72">
        <f t="shared" ref="K301:T301" si="301">K270</f>
        <v>1</v>
      </c>
      <c r="L301" s="61">
        <f t="shared" si="301"/>
        <v>-1</v>
      </c>
      <c r="M301" s="61">
        <f t="shared" si="301"/>
        <v>0</v>
      </c>
      <c r="N301" s="61">
        <f t="shared" si="301"/>
        <v>0</v>
      </c>
      <c r="O301" s="61">
        <f t="shared" si="301"/>
        <v>1</v>
      </c>
      <c r="P301" s="105">
        <f t="shared" si="301"/>
        <v>0</v>
      </c>
      <c r="Q301" s="72">
        <f t="shared" si="301"/>
        <v>-1</v>
      </c>
      <c r="R301" s="72">
        <f t="shared" si="301"/>
        <v>0</v>
      </c>
      <c r="S301" s="75" t="str">
        <f t="shared" si="301"/>
        <v xml:space="preserve">CntrlFurnace   </v>
      </c>
      <c r="T301" s="62" t="str">
        <f t="shared" si="301"/>
        <v xml:space="preserve">CntrlFurnace   </v>
      </c>
      <c r="U301" s="92">
        <f t="shared" si="286"/>
        <v>1</v>
      </c>
      <c r="V301" s="6">
        <f>IF(AND(ISNUMBER(G301), G301&gt;0), 1, 0)</f>
        <v>0</v>
      </c>
      <c r="W301" s="6">
        <f t="shared" si="288"/>
        <v>0</v>
      </c>
      <c r="X301" s="6">
        <f t="shared" si="289"/>
        <v>0</v>
      </c>
      <c r="Y301" s="48">
        <v>1</v>
      </c>
      <c r="Z301" s="61" t="s">
        <v>0</v>
      </c>
      <c r="AA301" s="62" t="str">
        <f t="shared" si="290"/>
        <v xml:space="preserve">Boiler - Gas or oil boiler                                        </v>
      </c>
    </row>
    <row r="302" spans="1:29" x14ac:dyDescent="0.25">
      <c r="C302" s="61">
        <f t="shared" ref="C302:D302" si="302">C301</f>
        <v>2025</v>
      </c>
      <c r="D302" s="6">
        <f t="shared" si="302"/>
        <v>2026</v>
      </c>
      <c r="E302" t="s">
        <v>521</v>
      </c>
      <c r="F302" s="67" t="s">
        <v>154</v>
      </c>
      <c r="G302" s="66" t="s">
        <v>155</v>
      </c>
      <c r="H302" s="66" t="s">
        <v>189</v>
      </c>
      <c r="I302" s="66" t="s">
        <v>189</v>
      </c>
      <c r="J302" s="66" t="s">
        <v>188</v>
      </c>
      <c r="K302" s="72">
        <f t="shared" ref="K302:T302" si="303">K271</f>
        <v>1</v>
      </c>
      <c r="L302" s="61">
        <f t="shared" si="303"/>
        <v>0</v>
      </c>
      <c r="M302" s="61">
        <f t="shared" si="303"/>
        <v>0</v>
      </c>
      <c r="N302" s="61">
        <f t="shared" si="303"/>
        <v>0</v>
      </c>
      <c r="O302" s="61">
        <f t="shared" si="303"/>
        <v>0</v>
      </c>
      <c r="P302" s="105">
        <f t="shared" si="303"/>
        <v>0</v>
      </c>
      <c r="Q302" s="72">
        <f t="shared" si="303"/>
        <v>-1</v>
      </c>
      <c r="R302" s="72">
        <f t="shared" si="303"/>
        <v>1</v>
      </c>
      <c r="S302" s="75" t="str">
        <f t="shared" si="303"/>
        <v xml:space="preserve">CntrlFurnace   </v>
      </c>
      <c r="T302" s="62" t="str">
        <f t="shared" si="303"/>
        <v xml:space="preserve">CntrlFurnace   </v>
      </c>
      <c r="U302" s="92">
        <f t="shared" si="286"/>
        <v>0</v>
      </c>
      <c r="V302" s="6">
        <f>IF(AND(ISNUMBER(G302), G302&gt;0), 1, 0)</f>
        <v>0</v>
      </c>
      <c r="W302" s="6">
        <f t="shared" si="288"/>
        <v>0</v>
      </c>
      <c r="X302" s="6">
        <f t="shared" si="289"/>
        <v>0</v>
      </c>
      <c r="Y302" s="48">
        <v>0</v>
      </c>
      <c r="Z302" s="61" t="s">
        <v>0</v>
      </c>
      <c r="AA302" s="62" t="str">
        <f t="shared" si="290"/>
        <v>WoodHeat - Wood heat meeting exceptional method criteria</v>
      </c>
      <c r="AC302" t="s">
        <v>524</v>
      </c>
    </row>
    <row r="303" spans="1:29" x14ac:dyDescent="0.25">
      <c r="C303" s="61">
        <f t="shared" ref="C303:D303" si="304">C302</f>
        <v>2025</v>
      </c>
      <c r="D303" s="6">
        <f t="shared" si="304"/>
        <v>2026</v>
      </c>
      <c r="E303" t="s">
        <v>143</v>
      </c>
      <c r="F303" s="67" t="s">
        <v>154</v>
      </c>
      <c r="G303" s="191">
        <v>8.8000000000000007</v>
      </c>
      <c r="H303" s="191">
        <v>7.5</v>
      </c>
      <c r="I303" s="191">
        <v>0.85</v>
      </c>
      <c r="J303" s="66" t="s">
        <v>188</v>
      </c>
      <c r="K303" s="72">
        <f t="shared" ref="K303:T303" si="305">K272</f>
        <v>1</v>
      </c>
      <c r="L303" s="61">
        <f t="shared" si="305"/>
        <v>1</v>
      </c>
      <c r="M303" s="61">
        <f t="shared" si="305"/>
        <v>1</v>
      </c>
      <c r="N303" s="61">
        <f t="shared" si="305"/>
        <v>1</v>
      </c>
      <c r="O303" s="61">
        <f t="shared" si="305"/>
        <v>0</v>
      </c>
      <c r="P303" s="105">
        <f t="shared" si="305"/>
        <v>0</v>
      </c>
      <c r="Q303" s="72">
        <f t="shared" si="305"/>
        <v>68</v>
      </c>
      <c r="R303" s="72">
        <f t="shared" si="305"/>
        <v>0</v>
      </c>
      <c r="S303" s="75" t="str">
        <f t="shared" si="305"/>
        <v xml:space="preserve">SplitHeatPump  </v>
      </c>
      <c r="T303" s="62" t="str">
        <f t="shared" si="305"/>
        <v xml:space="preserve">SplitHeatPump  </v>
      </c>
      <c r="U303" s="92">
        <f t="shared" si="286"/>
        <v>0</v>
      </c>
      <c r="V303" s="6">
        <f>IF(AND(ISNUMBER(G303), G303&gt;0), 1, 0)</f>
        <v>1</v>
      </c>
      <c r="W303" s="6">
        <f t="shared" si="288"/>
        <v>1</v>
      </c>
      <c r="X303" s="6">
        <f t="shared" si="289"/>
        <v>0</v>
      </c>
      <c r="Y303" s="48">
        <v>1</v>
      </c>
      <c r="Z303" s="61" t="s">
        <v>0</v>
      </c>
      <c r="AA303" s="62" t="str">
        <f t="shared" si="290"/>
        <v xml:space="preserve">SplitHeatPump - Heating side of central split heat pump           </v>
      </c>
    </row>
    <row r="304" spans="1:29" x14ac:dyDescent="0.25">
      <c r="C304" s="61">
        <f t="shared" ref="C304:D304" si="306">C303</f>
        <v>2025</v>
      </c>
      <c r="D304" s="6">
        <f t="shared" si="306"/>
        <v>2026</v>
      </c>
      <c r="E304" s="176" t="s">
        <v>682</v>
      </c>
      <c r="F304" s="67" t="s">
        <v>154</v>
      </c>
      <c r="G304" s="66" t="s">
        <v>155</v>
      </c>
      <c r="H304" s="66" t="s">
        <v>189</v>
      </c>
      <c r="I304" s="66" t="s">
        <v>189</v>
      </c>
      <c r="J304" s="179">
        <v>2.9</v>
      </c>
      <c r="K304" s="72">
        <f t="shared" ref="K304:T304" si="307">K273</f>
        <v>1</v>
      </c>
      <c r="L304" s="61">
        <f t="shared" si="307"/>
        <v>0</v>
      </c>
      <c r="M304" s="61">
        <f t="shared" si="307"/>
        <v>1</v>
      </c>
      <c r="N304" s="61">
        <f t="shared" si="307"/>
        <v>1</v>
      </c>
      <c r="O304" s="61">
        <f t="shared" si="307"/>
        <v>0</v>
      </c>
      <c r="P304" s="105">
        <f t="shared" si="307"/>
        <v>0</v>
      </c>
      <c r="Q304" s="72">
        <f t="shared" si="307"/>
        <v>68</v>
      </c>
      <c r="R304" s="72">
        <f t="shared" si="307"/>
        <v>0</v>
      </c>
      <c r="S304" s="75" t="str">
        <f t="shared" si="307"/>
        <v xml:space="preserve">SplitHeatPump  </v>
      </c>
      <c r="T304" s="62" t="str">
        <f t="shared" si="307"/>
        <v xml:space="preserve">SplitHeatPump  </v>
      </c>
      <c r="U304" s="92">
        <f t="shared" si="286"/>
        <v>0</v>
      </c>
      <c r="V304" s="6">
        <f t="shared" ref="V304:V305" si="308">IF(AND(ISNUMBER(G304), G304&gt;0), 1, 0)</f>
        <v>0</v>
      </c>
      <c r="W304" s="6">
        <f t="shared" si="288"/>
        <v>0</v>
      </c>
      <c r="X304" s="6">
        <f t="shared" si="289"/>
        <v>1</v>
      </c>
      <c r="Y304" s="48">
        <v>0</v>
      </c>
      <c r="Z304" s="61" t="s">
        <v>0</v>
      </c>
      <c r="AA304" s="62" t="str">
        <f t="shared" si="290"/>
        <v>PkgTermHeatPump - Packaged terminal heat pump (PTHP)</v>
      </c>
    </row>
    <row r="305" spans="3:29" x14ac:dyDescent="0.25">
      <c r="C305" s="61">
        <f t="shared" ref="C305:D305" si="309">C304</f>
        <v>2025</v>
      </c>
      <c r="D305" s="6">
        <f t="shared" si="309"/>
        <v>2026</v>
      </c>
      <c r="E305" s="176" t="s">
        <v>683</v>
      </c>
      <c r="F305" s="67" t="s">
        <v>154</v>
      </c>
      <c r="G305" s="66" t="s">
        <v>155</v>
      </c>
      <c r="H305" s="66" t="s">
        <v>189</v>
      </c>
      <c r="I305" s="66" t="s">
        <v>189</v>
      </c>
      <c r="J305" s="179">
        <v>3.3</v>
      </c>
      <c r="K305" s="72">
        <f t="shared" ref="K305:T305" si="310">K274</f>
        <v>1</v>
      </c>
      <c r="L305" s="61">
        <f t="shared" si="310"/>
        <v>1</v>
      </c>
      <c r="M305" s="61">
        <f t="shared" si="310"/>
        <v>1</v>
      </c>
      <c r="N305" s="61">
        <f t="shared" si="310"/>
        <v>1</v>
      </c>
      <c r="O305" s="61">
        <f t="shared" si="310"/>
        <v>0</v>
      </c>
      <c r="P305" s="105">
        <f t="shared" si="310"/>
        <v>0</v>
      </c>
      <c r="Q305" s="72">
        <f t="shared" si="310"/>
        <v>68</v>
      </c>
      <c r="R305" s="72">
        <f t="shared" si="310"/>
        <v>0</v>
      </c>
      <c r="S305" s="75" t="str">
        <f t="shared" si="310"/>
        <v xml:space="preserve">SplitHeatPump  </v>
      </c>
      <c r="T305" s="62" t="str">
        <f t="shared" si="310"/>
        <v xml:space="preserve">SplitHeatPump  </v>
      </c>
      <c r="U305" s="92">
        <f t="shared" si="286"/>
        <v>0</v>
      </c>
      <c r="V305" s="6">
        <f t="shared" si="308"/>
        <v>0</v>
      </c>
      <c r="W305" s="6">
        <f t="shared" si="288"/>
        <v>0</v>
      </c>
      <c r="X305" s="6">
        <f t="shared" si="289"/>
        <v>1</v>
      </c>
      <c r="Y305" s="48">
        <v>0</v>
      </c>
      <c r="Z305" s="61" t="s">
        <v>0</v>
      </c>
      <c r="AA305" s="62" t="str">
        <f t="shared" si="290"/>
        <v>SglPkgVertHeatPump - Single package vertical heat pump</v>
      </c>
    </row>
    <row r="306" spans="3:29" x14ac:dyDescent="0.25">
      <c r="C306" s="61">
        <f t="shared" ref="C306:D306" si="311">C305</f>
        <v>2025</v>
      </c>
      <c r="D306" s="6">
        <f t="shared" si="311"/>
        <v>2026</v>
      </c>
      <c r="E306" t="s">
        <v>511</v>
      </c>
      <c r="F306" s="67" t="s">
        <v>154</v>
      </c>
      <c r="G306" s="10">
        <v>7.2</v>
      </c>
      <c r="H306" s="191">
        <v>6.1</v>
      </c>
      <c r="I306" s="191">
        <v>0.85</v>
      </c>
      <c r="J306" s="66" t="s">
        <v>188</v>
      </c>
      <c r="K306" s="72">
        <f t="shared" ref="K306:T306" si="312">K275</f>
        <v>1</v>
      </c>
      <c r="L306" s="61">
        <f t="shared" si="312"/>
        <v>1</v>
      </c>
      <c r="M306" s="61">
        <f t="shared" si="312"/>
        <v>1</v>
      </c>
      <c r="N306" s="61">
        <f t="shared" si="312"/>
        <v>1</v>
      </c>
      <c r="O306" s="61">
        <f t="shared" si="312"/>
        <v>0</v>
      </c>
      <c r="P306" s="105">
        <f t="shared" si="312"/>
        <v>0</v>
      </c>
      <c r="Q306" s="72">
        <f t="shared" si="312"/>
        <v>68</v>
      </c>
      <c r="R306" s="72">
        <f t="shared" si="312"/>
        <v>0</v>
      </c>
      <c r="S306" s="75" t="str">
        <f t="shared" si="312"/>
        <v xml:space="preserve">SplitHeatPump  </v>
      </c>
      <c r="T306" s="62" t="str">
        <f t="shared" si="312"/>
        <v xml:space="preserve">SplitHeatPump  </v>
      </c>
      <c r="U306" s="92">
        <f t="shared" si="286"/>
        <v>0</v>
      </c>
      <c r="V306" s="6">
        <f>IF(AND(ISNUMBER(G306), G306&gt;0), 1, 0)</f>
        <v>1</v>
      </c>
      <c r="W306" s="6">
        <f t="shared" si="288"/>
        <v>1</v>
      </c>
      <c r="X306" s="6">
        <f t="shared" si="289"/>
        <v>0</v>
      </c>
      <c r="Y306" s="48">
        <v>1</v>
      </c>
      <c r="Z306" s="61" t="s">
        <v>0</v>
      </c>
      <c r="AA306" s="62" t="str">
        <f t="shared" si="290"/>
        <v xml:space="preserve">SDHVSplitHeatPump - Small duct, high velocity, central split heat pump           </v>
      </c>
    </row>
    <row r="307" spans="3:29" x14ac:dyDescent="0.25">
      <c r="C307" s="61">
        <f t="shared" ref="C307:D307" si="313">C306</f>
        <v>2025</v>
      </c>
      <c r="D307" s="6">
        <f t="shared" si="313"/>
        <v>2026</v>
      </c>
      <c r="E307" t="s">
        <v>530</v>
      </c>
      <c r="F307" s="67" t="s">
        <v>154</v>
      </c>
      <c r="G307" s="191">
        <v>8.8000000000000007</v>
      </c>
      <c r="H307" s="191">
        <v>7.5</v>
      </c>
      <c r="I307" s="191">
        <v>0.85</v>
      </c>
      <c r="J307" s="66" t="s">
        <v>188</v>
      </c>
      <c r="K307" s="72">
        <f t="shared" ref="K307:T307" si="314">K276</f>
        <v>1</v>
      </c>
      <c r="L307" s="61">
        <f t="shared" si="314"/>
        <v>0</v>
      </c>
      <c r="M307" s="61">
        <f t="shared" si="314"/>
        <v>1</v>
      </c>
      <c r="N307" s="61">
        <f t="shared" si="314"/>
        <v>1</v>
      </c>
      <c r="O307" s="61">
        <f t="shared" si="314"/>
        <v>0</v>
      </c>
      <c r="P307" s="105">
        <f t="shared" si="314"/>
        <v>0</v>
      </c>
      <c r="Q307" s="72">
        <f t="shared" si="314"/>
        <v>68</v>
      </c>
      <c r="R307" s="220">
        <v>0</v>
      </c>
      <c r="S307" s="75" t="str">
        <f t="shared" si="314"/>
        <v xml:space="preserve">SplitHeatPump  </v>
      </c>
      <c r="T307" s="62" t="str">
        <f t="shared" si="314"/>
        <v xml:space="preserve">SplitHeatPump  </v>
      </c>
      <c r="U307" s="92">
        <f t="shared" si="286"/>
        <v>0</v>
      </c>
      <c r="V307" s="6">
        <f>IF(AND(ISNUMBER(G307), G307&gt;0), 1, 0)</f>
        <v>1</v>
      </c>
      <c r="W307" s="6">
        <f t="shared" si="288"/>
        <v>1</v>
      </c>
      <c r="X307" s="6">
        <f t="shared" si="289"/>
        <v>0</v>
      </c>
      <c r="Y307" s="48">
        <v>1</v>
      </c>
      <c r="Z307" s="61" t="s">
        <v>0</v>
      </c>
      <c r="AA307" s="62" t="str">
        <f t="shared" si="290"/>
        <v>DuctlessMiniSplitHeatPump – Ductless mini-split heat pump system</v>
      </c>
      <c r="AC307" t="s">
        <v>525</v>
      </c>
    </row>
    <row r="308" spans="3:29" x14ac:dyDescent="0.25">
      <c r="C308" s="61">
        <f t="shared" ref="C308:D308" si="315">C307</f>
        <v>2025</v>
      </c>
      <c r="D308" s="6">
        <f t="shared" si="315"/>
        <v>2026</v>
      </c>
      <c r="E308" t="s">
        <v>531</v>
      </c>
      <c r="F308" s="67" t="s">
        <v>154</v>
      </c>
      <c r="G308" s="191">
        <v>8.8000000000000007</v>
      </c>
      <c r="H308" s="191">
        <v>7.5</v>
      </c>
      <c r="I308" s="191">
        <v>0.85</v>
      </c>
      <c r="J308" s="66" t="s">
        <v>188</v>
      </c>
      <c r="K308" s="72">
        <f t="shared" ref="K308:T308" si="316">K277</f>
        <v>1</v>
      </c>
      <c r="L308" s="61">
        <f t="shared" si="316"/>
        <v>0</v>
      </c>
      <c r="M308" s="61">
        <f t="shared" si="316"/>
        <v>1</v>
      </c>
      <c r="N308" s="61">
        <f t="shared" si="316"/>
        <v>1</v>
      </c>
      <c r="O308" s="61">
        <f t="shared" si="316"/>
        <v>0</v>
      </c>
      <c r="P308" s="61">
        <f t="shared" si="316"/>
        <v>0</v>
      </c>
      <c r="Q308" s="96">
        <f t="shared" si="316"/>
        <v>68</v>
      </c>
      <c r="R308" s="220">
        <v>0</v>
      </c>
      <c r="S308" s="75" t="str">
        <f t="shared" si="316"/>
        <v xml:space="preserve">SplitHeatPump  </v>
      </c>
      <c r="T308" s="62" t="str">
        <f t="shared" si="316"/>
        <v xml:space="preserve">SplitHeatPump  </v>
      </c>
      <c r="U308" s="72">
        <f t="shared" si="286"/>
        <v>0</v>
      </c>
      <c r="V308" s="61">
        <f>IF(AND(ISNUMBER(G308), G308&gt;0), 1, 0)</f>
        <v>1</v>
      </c>
      <c r="W308" s="61">
        <f t="shared" si="288"/>
        <v>1</v>
      </c>
      <c r="X308" s="61">
        <f t="shared" si="289"/>
        <v>0</v>
      </c>
      <c r="Y308" s="48">
        <v>1</v>
      </c>
      <c r="Z308" s="61" t="s">
        <v>0</v>
      </c>
      <c r="AA308" s="62" t="str">
        <f t="shared" si="290"/>
        <v>DuctlessMultiSplitHeatPump - Ductless multi-split heat pump system</v>
      </c>
      <c r="AC308" t="s">
        <v>524</v>
      </c>
    </row>
    <row r="309" spans="3:29" x14ac:dyDescent="0.25">
      <c r="C309" s="61">
        <f t="shared" ref="C309:D309" si="317">C308</f>
        <v>2025</v>
      </c>
      <c r="D309" s="6">
        <f t="shared" si="317"/>
        <v>2026</v>
      </c>
      <c r="E309" t="s">
        <v>520</v>
      </c>
      <c r="F309" s="67" t="s">
        <v>154</v>
      </c>
      <c r="G309" s="10">
        <v>7.7</v>
      </c>
      <c r="H309" s="190">
        <f>G309*0.85</f>
        <v>6.5449999999999999</v>
      </c>
      <c r="I309" s="191">
        <v>0.85</v>
      </c>
      <c r="J309" s="66" t="s">
        <v>188</v>
      </c>
      <c r="K309" s="72">
        <f t="shared" ref="K309:T309" si="318">K278</f>
        <v>1</v>
      </c>
      <c r="L309" s="61">
        <f t="shared" si="318"/>
        <v>0</v>
      </c>
      <c r="M309" s="61">
        <f t="shared" si="318"/>
        <v>1</v>
      </c>
      <c r="N309" s="61">
        <f t="shared" si="318"/>
        <v>1</v>
      </c>
      <c r="O309" s="61">
        <f t="shared" si="318"/>
        <v>0</v>
      </c>
      <c r="P309" s="61">
        <f t="shared" si="318"/>
        <v>0</v>
      </c>
      <c r="Q309" s="96">
        <f t="shared" si="318"/>
        <v>68</v>
      </c>
      <c r="R309" s="220">
        <v>0</v>
      </c>
      <c r="S309" s="75" t="str">
        <f t="shared" si="318"/>
        <v xml:space="preserve">SplitHeatPump  </v>
      </c>
      <c r="T309" s="62" t="str">
        <f t="shared" si="318"/>
        <v xml:space="preserve">SplitHeatPump  </v>
      </c>
      <c r="U309" s="72">
        <f t="shared" si="286"/>
        <v>0</v>
      </c>
      <c r="V309" s="61">
        <f>IF(AND(ISNUMBER(G309), G309&gt;0), 1, 0)</f>
        <v>1</v>
      </c>
      <c r="W309" s="61">
        <f t="shared" si="288"/>
        <v>1</v>
      </c>
      <c r="X309" s="61">
        <f t="shared" si="289"/>
        <v>0</v>
      </c>
      <c r="Y309" s="48">
        <v>1</v>
      </c>
      <c r="Z309" s="61" t="s">
        <v>0</v>
      </c>
      <c r="AA309" s="62" t="str">
        <f t="shared" si="290"/>
        <v>DuctlessVRFHeatPump - Ductless variable refrigerant flow (VRF) heat pump system</v>
      </c>
      <c r="AC309" t="s">
        <v>524</v>
      </c>
    </row>
    <row r="310" spans="3:29" x14ac:dyDescent="0.25">
      <c r="C310" s="61">
        <f t="shared" ref="C310:D310" si="319">C309</f>
        <v>2025</v>
      </c>
      <c r="D310" s="6">
        <f t="shared" si="319"/>
        <v>2026</v>
      </c>
      <c r="E310" s="176" t="s">
        <v>686</v>
      </c>
      <c r="F310" s="67" t="s">
        <v>154</v>
      </c>
      <c r="G310" s="191">
        <v>8.8000000000000007</v>
      </c>
      <c r="H310" s="191">
        <v>7.5</v>
      </c>
      <c r="I310" s="191">
        <v>0.85</v>
      </c>
      <c r="J310" s="66" t="s">
        <v>188</v>
      </c>
      <c r="K310" s="72">
        <f t="shared" ref="K310:T310" si="320">K279</f>
        <v>1</v>
      </c>
      <c r="L310" s="61">
        <f t="shared" si="320"/>
        <v>1</v>
      </c>
      <c r="M310" s="61">
        <f t="shared" si="320"/>
        <v>1</v>
      </c>
      <c r="N310" s="61">
        <f t="shared" si="320"/>
        <v>1</v>
      </c>
      <c r="O310" s="61">
        <f t="shared" si="320"/>
        <v>0</v>
      </c>
      <c r="P310" s="105">
        <f t="shared" si="320"/>
        <v>0</v>
      </c>
      <c r="Q310" s="72">
        <f t="shared" si="320"/>
        <v>68</v>
      </c>
      <c r="R310" s="220">
        <v>0</v>
      </c>
      <c r="S310" s="75" t="str">
        <f t="shared" si="320"/>
        <v xml:space="preserve">SplitHeatPump  </v>
      </c>
      <c r="T310" s="62" t="str">
        <f t="shared" si="320"/>
        <v xml:space="preserve">SplitHeatPump  </v>
      </c>
      <c r="U310" s="92">
        <f t="shared" si="286"/>
        <v>0</v>
      </c>
      <c r="V310" s="6">
        <f t="shared" ref="V310:V323" si="321">IF(AND(ISNUMBER(G310), G310&gt;0), 1, 0)</f>
        <v>1</v>
      </c>
      <c r="W310" s="6">
        <f t="shared" si="288"/>
        <v>1</v>
      </c>
      <c r="X310" s="6">
        <f t="shared" si="289"/>
        <v>0</v>
      </c>
      <c r="Y310" s="48">
        <v>0</v>
      </c>
      <c r="Z310" s="61" t="s">
        <v>0</v>
      </c>
      <c r="AA310" s="62" t="str">
        <f t="shared" si="290"/>
        <v>DuctedMiniSplitHeatPump - Ducted mini-split heat pump</v>
      </c>
    </row>
    <row r="311" spans="3:29" x14ac:dyDescent="0.25">
      <c r="C311" s="61">
        <f t="shared" ref="C311:D311" si="322">C310</f>
        <v>2025</v>
      </c>
      <c r="D311" s="6">
        <f t="shared" si="322"/>
        <v>2026</v>
      </c>
      <c r="E311" s="176" t="s">
        <v>687</v>
      </c>
      <c r="F311" s="67" t="s">
        <v>154</v>
      </c>
      <c r="G311" s="191">
        <v>8.8000000000000007</v>
      </c>
      <c r="H311" s="191">
        <v>7.5</v>
      </c>
      <c r="I311" s="191">
        <v>0.85</v>
      </c>
      <c r="J311" s="66" t="s">
        <v>188</v>
      </c>
      <c r="K311" s="72">
        <f t="shared" ref="K311:T311" si="323">K280</f>
        <v>1</v>
      </c>
      <c r="L311" s="61">
        <f t="shared" si="323"/>
        <v>1</v>
      </c>
      <c r="M311" s="61">
        <f t="shared" si="323"/>
        <v>1</v>
      </c>
      <c r="N311" s="61">
        <f t="shared" si="323"/>
        <v>1</v>
      </c>
      <c r="O311" s="61">
        <f t="shared" si="323"/>
        <v>0</v>
      </c>
      <c r="P311" s="105">
        <f t="shared" si="323"/>
        <v>0</v>
      </c>
      <c r="Q311" s="72">
        <f t="shared" si="323"/>
        <v>68</v>
      </c>
      <c r="R311" s="220">
        <v>0</v>
      </c>
      <c r="S311" s="75" t="str">
        <f t="shared" si="323"/>
        <v xml:space="preserve">SplitHeatPump  </v>
      </c>
      <c r="T311" s="62" t="str">
        <f t="shared" si="323"/>
        <v xml:space="preserve">SplitHeatPump  </v>
      </c>
      <c r="U311" s="92">
        <f t="shared" si="286"/>
        <v>0</v>
      </c>
      <c r="V311" s="6">
        <f t="shared" si="321"/>
        <v>1</v>
      </c>
      <c r="W311" s="6">
        <f t="shared" si="288"/>
        <v>1</v>
      </c>
      <c r="X311" s="6">
        <f t="shared" si="289"/>
        <v>0</v>
      </c>
      <c r="Y311" s="48">
        <v>0</v>
      </c>
      <c r="Z311" s="61" t="s">
        <v>0</v>
      </c>
      <c r="AA311" s="62" t="str">
        <f t="shared" si="290"/>
        <v>DuctedMultiSplitHeatPump - Ducted multi-split heat pump</v>
      </c>
    </row>
    <row r="312" spans="3:29" x14ac:dyDescent="0.25">
      <c r="C312" s="61">
        <f t="shared" ref="C312:D312" si="324">C311</f>
        <v>2025</v>
      </c>
      <c r="D312" s="6">
        <f t="shared" si="324"/>
        <v>2026</v>
      </c>
      <c r="E312" s="176" t="s">
        <v>688</v>
      </c>
      <c r="F312" s="67" t="s">
        <v>154</v>
      </c>
      <c r="G312" s="191">
        <v>8.8000000000000007</v>
      </c>
      <c r="H312" s="191">
        <v>7.5</v>
      </c>
      <c r="I312" s="191">
        <v>0.85</v>
      </c>
      <c r="J312" s="66" t="s">
        <v>188</v>
      </c>
      <c r="K312" s="72">
        <f t="shared" ref="K312:T312" si="325">K281</f>
        <v>1</v>
      </c>
      <c r="L312" s="61">
        <f t="shared" si="325"/>
        <v>1</v>
      </c>
      <c r="M312" s="61">
        <f t="shared" si="325"/>
        <v>1</v>
      </c>
      <c r="N312" s="61">
        <f t="shared" si="325"/>
        <v>1</v>
      </c>
      <c r="O312" s="61">
        <f t="shared" si="325"/>
        <v>0</v>
      </c>
      <c r="P312" s="105">
        <f t="shared" si="325"/>
        <v>0</v>
      </c>
      <c r="Q312" s="72">
        <f t="shared" si="325"/>
        <v>68</v>
      </c>
      <c r="R312" s="220">
        <v>0</v>
      </c>
      <c r="S312" s="75" t="str">
        <f t="shared" si="325"/>
        <v xml:space="preserve">SplitHeatPump  </v>
      </c>
      <c r="T312" s="62" t="str">
        <f t="shared" si="325"/>
        <v xml:space="preserve">SplitHeatPump  </v>
      </c>
      <c r="U312" s="92">
        <f t="shared" si="286"/>
        <v>0</v>
      </c>
      <c r="V312" s="6">
        <f t="shared" si="321"/>
        <v>1</v>
      </c>
      <c r="W312" s="6">
        <f t="shared" si="288"/>
        <v>1</v>
      </c>
      <c r="X312" s="6">
        <f t="shared" si="289"/>
        <v>0</v>
      </c>
      <c r="Y312" s="48">
        <v>0</v>
      </c>
      <c r="Z312" s="61" t="s">
        <v>0</v>
      </c>
      <c r="AA312" s="62" t="str">
        <f t="shared" si="290"/>
        <v>Ducted+DuctlessMultiSplitHeatPump - Ducted+ductless multi-split heat pump</v>
      </c>
    </row>
    <row r="313" spans="3:29" x14ac:dyDescent="0.25">
      <c r="C313" s="61">
        <f t="shared" ref="C313:D313" si="326">C312</f>
        <v>2025</v>
      </c>
      <c r="D313" s="6">
        <f t="shared" si="326"/>
        <v>2026</v>
      </c>
      <c r="E313" t="s">
        <v>144</v>
      </c>
      <c r="F313" s="67" t="s">
        <v>154</v>
      </c>
      <c r="G313" s="55">
        <v>8</v>
      </c>
      <c r="H313" s="192">
        <v>6.7</v>
      </c>
      <c r="I313" s="194">
        <v>0.84</v>
      </c>
      <c r="J313" s="66" t="s">
        <v>188</v>
      </c>
      <c r="K313" s="72">
        <f t="shared" ref="K313:T313" si="327">K282</f>
        <v>1</v>
      </c>
      <c r="L313" s="61">
        <f t="shared" si="327"/>
        <v>1</v>
      </c>
      <c r="M313" s="61">
        <f t="shared" si="327"/>
        <v>1</v>
      </c>
      <c r="N313" s="61">
        <f t="shared" si="327"/>
        <v>1</v>
      </c>
      <c r="O313" s="61">
        <f t="shared" si="327"/>
        <v>0</v>
      </c>
      <c r="P313" s="61">
        <f t="shared" si="327"/>
        <v>0</v>
      </c>
      <c r="Q313" s="96">
        <f t="shared" si="327"/>
        <v>68</v>
      </c>
      <c r="R313" s="96">
        <f t="shared" si="327"/>
        <v>0</v>
      </c>
      <c r="S313" s="75" t="str">
        <f t="shared" si="327"/>
        <v xml:space="preserve">SplitHeatPump  </v>
      </c>
      <c r="T313" s="62" t="str">
        <f t="shared" si="327"/>
        <v xml:space="preserve">SplitHeatPump  </v>
      </c>
      <c r="U313" s="92">
        <f t="shared" si="286"/>
        <v>0</v>
      </c>
      <c r="V313" s="6">
        <f t="shared" si="321"/>
        <v>1</v>
      </c>
      <c r="W313" s="6">
        <f t="shared" si="288"/>
        <v>1</v>
      </c>
      <c r="X313" s="6">
        <f t="shared" si="289"/>
        <v>0</v>
      </c>
      <c r="Y313" s="48">
        <v>1</v>
      </c>
      <c r="Z313" s="61" t="s">
        <v>0</v>
      </c>
      <c r="AA313" s="62" t="str">
        <f t="shared" si="290"/>
        <v xml:space="preserve">PkgHeatPump - Heating side of central packaged heat pump          </v>
      </c>
    </row>
    <row r="314" spans="3:29" x14ac:dyDescent="0.25">
      <c r="C314" s="61">
        <f t="shared" ref="C314:D314" si="328">C313</f>
        <v>2025</v>
      </c>
      <c r="D314" s="6">
        <f t="shared" si="328"/>
        <v>2026</v>
      </c>
      <c r="E314" t="s">
        <v>145</v>
      </c>
      <c r="F314" s="67" t="s">
        <v>154</v>
      </c>
      <c r="G314" s="11">
        <v>0</v>
      </c>
      <c r="H314" s="11">
        <v>0</v>
      </c>
      <c r="I314" s="11">
        <v>1</v>
      </c>
      <c r="J314" s="66" t="s">
        <v>188</v>
      </c>
      <c r="K314" s="72">
        <f t="shared" ref="K314:T314" si="329">K283</f>
        <v>0</v>
      </c>
      <c r="L314" s="61">
        <f t="shared" si="329"/>
        <v>1</v>
      </c>
      <c r="M314" s="61">
        <f t="shared" si="329"/>
        <v>1</v>
      </c>
      <c r="N314" s="61">
        <f t="shared" si="329"/>
        <v>1</v>
      </c>
      <c r="O314" s="61">
        <f t="shared" si="329"/>
        <v>0</v>
      </c>
      <c r="P314" s="61">
        <f t="shared" si="329"/>
        <v>0</v>
      </c>
      <c r="Q314" s="96">
        <f t="shared" si="329"/>
        <v>68</v>
      </c>
      <c r="R314" s="96">
        <f t="shared" si="329"/>
        <v>0</v>
      </c>
      <c r="S314" s="75" t="str">
        <f t="shared" si="329"/>
        <v xml:space="preserve">SplitHeatPump  </v>
      </c>
      <c r="T314" s="62" t="str">
        <f t="shared" si="329"/>
        <v xml:space="preserve">SplitHeatPump  </v>
      </c>
      <c r="U314" s="92">
        <f t="shared" si="286"/>
        <v>0</v>
      </c>
      <c r="V314" s="6">
        <f t="shared" si="321"/>
        <v>0</v>
      </c>
      <c r="W314" s="6">
        <f t="shared" si="288"/>
        <v>0</v>
      </c>
      <c r="X314" s="6">
        <f t="shared" si="289"/>
        <v>0</v>
      </c>
      <c r="Y314" s="48">
        <v>1</v>
      </c>
      <c r="Z314" s="61" t="s">
        <v>0</v>
      </c>
      <c r="AA314" s="62" t="str">
        <f t="shared" si="290"/>
        <v>LrgPkgHeatPump - Heating side of large (&gt;= 65 kBtuh) packaged unit</v>
      </c>
    </row>
    <row r="315" spans="3:29" x14ac:dyDescent="0.25">
      <c r="C315" s="61">
        <f t="shared" ref="C315:D315" si="330">C314</f>
        <v>2025</v>
      </c>
      <c r="D315" s="6">
        <f t="shared" si="330"/>
        <v>2026</v>
      </c>
      <c r="E315" t="s">
        <v>146</v>
      </c>
      <c r="F315" s="67" t="s">
        <v>154</v>
      </c>
      <c r="G315" s="66" t="s">
        <v>155</v>
      </c>
      <c r="H315" s="66" t="s">
        <v>189</v>
      </c>
      <c r="I315" s="66" t="s">
        <v>189</v>
      </c>
      <c r="J315" s="66" t="s">
        <v>188</v>
      </c>
      <c r="K315" s="72">
        <f t="shared" ref="K315:T315" si="331">K284</f>
        <v>1</v>
      </c>
      <c r="L315" s="61">
        <f t="shared" si="331"/>
        <v>0</v>
      </c>
      <c r="M315" s="61">
        <f t="shared" si="331"/>
        <v>1</v>
      </c>
      <c r="N315" s="61">
        <f t="shared" si="331"/>
        <v>1</v>
      </c>
      <c r="O315" s="61">
        <f t="shared" si="331"/>
        <v>0</v>
      </c>
      <c r="P315" s="61">
        <f t="shared" si="331"/>
        <v>0</v>
      </c>
      <c r="Q315" s="96">
        <f t="shared" si="331"/>
        <v>68</v>
      </c>
      <c r="R315" s="96">
        <f t="shared" si="331"/>
        <v>1</v>
      </c>
      <c r="S315" s="75" t="str">
        <f t="shared" si="331"/>
        <v xml:space="preserve">SplitHeatPump  </v>
      </c>
      <c r="T315" s="62" t="str">
        <f t="shared" si="331"/>
        <v xml:space="preserve">SplitHeatPump  </v>
      </c>
      <c r="U315" s="92">
        <f t="shared" si="286"/>
        <v>0</v>
      </c>
      <c r="V315" s="6">
        <f t="shared" si="321"/>
        <v>0</v>
      </c>
      <c r="W315" s="6">
        <f t="shared" si="288"/>
        <v>0</v>
      </c>
      <c r="X315" s="6">
        <f t="shared" si="289"/>
        <v>0</v>
      </c>
      <c r="Y315" s="48">
        <v>0</v>
      </c>
      <c r="Z315" s="61" t="s">
        <v>0</v>
      </c>
      <c r="AA315" s="62" t="str">
        <f t="shared" si="290"/>
        <v xml:space="preserve">RoomHeatPump - Heating side of non-central room A/C system        </v>
      </c>
    </row>
    <row r="316" spans="3:29" x14ac:dyDescent="0.25">
      <c r="C316" s="61">
        <f t="shared" ref="C316:D316" si="332">C315</f>
        <v>2025</v>
      </c>
      <c r="D316" s="6">
        <f t="shared" si="332"/>
        <v>2026</v>
      </c>
      <c r="E316" t="s">
        <v>147</v>
      </c>
      <c r="F316" s="67" t="s">
        <v>154</v>
      </c>
      <c r="G316" s="191">
        <v>8.8000000000000007</v>
      </c>
      <c r="H316" s="191">
        <v>7.5</v>
      </c>
      <c r="I316" s="191">
        <v>0.85</v>
      </c>
      <c r="J316" s="66" t="s">
        <v>188</v>
      </c>
      <c r="K316" s="72">
        <f t="shared" ref="K316:T316" si="333">K285</f>
        <v>1</v>
      </c>
      <c r="L316" s="61">
        <f t="shared" si="333"/>
        <v>-1</v>
      </c>
      <c r="M316" s="61">
        <f t="shared" si="333"/>
        <v>0</v>
      </c>
      <c r="N316" s="61">
        <f t="shared" si="333"/>
        <v>1</v>
      </c>
      <c r="O316" s="61">
        <f t="shared" si="333"/>
        <v>0</v>
      </c>
      <c r="P316" s="61">
        <f t="shared" si="333"/>
        <v>0</v>
      </c>
      <c r="Q316" s="96">
        <f t="shared" si="333"/>
        <v>-1</v>
      </c>
      <c r="R316" s="96">
        <f t="shared" si="333"/>
        <v>0</v>
      </c>
      <c r="S316" s="75" t="str">
        <f t="shared" si="333"/>
        <v xml:space="preserve">SplitHeatPump  </v>
      </c>
      <c r="T316" s="62" t="str">
        <f t="shared" si="333"/>
        <v xml:space="preserve">SplitHeatPump  </v>
      </c>
      <c r="U316" s="92">
        <f t="shared" si="286"/>
        <v>0</v>
      </c>
      <c r="V316" s="6">
        <f t="shared" si="321"/>
        <v>1</v>
      </c>
      <c r="W316" s="6">
        <f t="shared" si="288"/>
        <v>1</v>
      </c>
      <c r="X316" s="6">
        <f t="shared" si="289"/>
        <v>0</v>
      </c>
      <c r="Y316" s="48">
        <v>0</v>
      </c>
      <c r="Z316" s="61" t="s">
        <v>0</v>
      </c>
      <c r="AA316" s="62" t="str">
        <f t="shared" si="290"/>
        <v xml:space="preserve">Electric - All electric heating systems other than heat pump      </v>
      </c>
    </row>
    <row r="317" spans="3:29" x14ac:dyDescent="0.25">
      <c r="C317" s="61">
        <f t="shared" ref="C317:D317" si="334">C316</f>
        <v>2025</v>
      </c>
      <c r="D317" s="6">
        <f t="shared" si="334"/>
        <v>2026</v>
      </c>
      <c r="E317" t="s">
        <v>148</v>
      </c>
      <c r="F317" s="67" t="s">
        <v>154</v>
      </c>
      <c r="G317" s="66" t="s">
        <v>155</v>
      </c>
      <c r="H317" s="66" t="s">
        <v>189</v>
      </c>
      <c r="I317" s="66" t="s">
        <v>189</v>
      </c>
      <c r="J317" s="66" t="s">
        <v>188</v>
      </c>
      <c r="K317" s="72">
        <f t="shared" ref="K317:T317" si="335">K286</f>
        <v>1</v>
      </c>
      <c r="L317" s="61">
        <f t="shared" si="335"/>
        <v>-1</v>
      </c>
      <c r="M317" s="61">
        <f t="shared" si="335"/>
        <v>0</v>
      </c>
      <c r="N317" s="61">
        <f t="shared" si="335"/>
        <v>0</v>
      </c>
      <c r="O317" s="61">
        <f t="shared" si="335"/>
        <v>1</v>
      </c>
      <c r="P317" s="61">
        <f t="shared" si="335"/>
        <v>0</v>
      </c>
      <c r="Q317" s="96">
        <f t="shared" si="335"/>
        <v>-1</v>
      </c>
      <c r="R317" s="96">
        <f t="shared" si="335"/>
        <v>0</v>
      </c>
      <c r="S317" s="75" t="str">
        <f t="shared" si="335"/>
        <v xml:space="preserve">CntrlFurnace   </v>
      </c>
      <c r="T317" s="62" t="str">
        <f t="shared" si="335"/>
        <v xml:space="preserve">CntrlFurnace   </v>
      </c>
      <c r="U317" s="92">
        <f t="shared" si="286"/>
        <v>0</v>
      </c>
      <c r="V317" s="6">
        <f t="shared" si="321"/>
        <v>0</v>
      </c>
      <c r="W317" s="6">
        <f t="shared" si="288"/>
        <v>0</v>
      </c>
      <c r="X317" s="6">
        <f t="shared" si="289"/>
        <v>0</v>
      </c>
      <c r="Y317" s="48">
        <v>1</v>
      </c>
      <c r="Z317" s="61" t="s">
        <v>0</v>
      </c>
      <c r="AA317" s="62" t="str">
        <f t="shared" si="290"/>
        <v xml:space="preserve">CombHydro - Water heating system can be storage gas/elec/ht pump  </v>
      </c>
    </row>
    <row r="318" spans="3:29" x14ac:dyDescent="0.25">
      <c r="C318" s="61">
        <f t="shared" ref="C318:D318" si="336">C317</f>
        <v>2025</v>
      </c>
      <c r="D318" s="6">
        <f t="shared" si="336"/>
        <v>2026</v>
      </c>
      <c r="E318" t="s">
        <v>510</v>
      </c>
      <c r="F318" s="67" t="s">
        <v>154</v>
      </c>
      <c r="G318" s="66" t="s">
        <v>155</v>
      </c>
      <c r="H318" s="66" t="s">
        <v>189</v>
      </c>
      <c r="I318" s="66" t="s">
        <v>189</v>
      </c>
      <c r="J318" s="66" t="s">
        <v>188</v>
      </c>
      <c r="K318" s="72">
        <f t="shared" ref="K318:T318" si="337">K287</f>
        <v>1</v>
      </c>
      <c r="L318" s="61">
        <f t="shared" si="337"/>
        <v>-1</v>
      </c>
      <c r="M318" s="61">
        <f t="shared" si="337"/>
        <v>0</v>
      </c>
      <c r="N318" s="61">
        <f t="shared" si="337"/>
        <v>1</v>
      </c>
      <c r="O318" s="61">
        <f t="shared" si="337"/>
        <v>0</v>
      </c>
      <c r="P318" s="61">
        <f t="shared" si="337"/>
        <v>0</v>
      </c>
      <c r="Q318" s="96">
        <f t="shared" si="337"/>
        <v>-1</v>
      </c>
      <c r="R318" s="96">
        <f t="shared" si="337"/>
        <v>0</v>
      </c>
      <c r="S318" s="75" t="str">
        <f t="shared" si="337"/>
        <v xml:space="preserve">SplitHeatPump  </v>
      </c>
      <c r="T318" s="62" t="str">
        <f t="shared" si="337"/>
        <v xml:space="preserve">SplitHeatPump  </v>
      </c>
      <c r="U318" s="92">
        <f t="shared" si="286"/>
        <v>0</v>
      </c>
      <c r="V318" s="6">
        <f t="shared" si="321"/>
        <v>0</v>
      </c>
      <c r="W318" s="6">
        <f t="shared" si="288"/>
        <v>0</v>
      </c>
      <c r="X318" s="6">
        <f t="shared" si="289"/>
        <v>0</v>
      </c>
      <c r="Y318" s="48">
        <v>1</v>
      </c>
      <c r="Z318" s="61" t="s">
        <v>0</v>
      </c>
      <c r="AA318" s="62" t="str">
        <f t="shared" si="290"/>
        <v xml:space="preserve">CombHydro - Water heating system can be storage gas/elec/ht pump  </v>
      </c>
    </row>
    <row r="319" spans="3:29" x14ac:dyDescent="0.25">
      <c r="C319" s="61">
        <f t="shared" ref="C319:D319" si="338">C318</f>
        <v>2025</v>
      </c>
      <c r="D319" s="6">
        <f t="shared" si="338"/>
        <v>2026</v>
      </c>
      <c r="E319" t="s">
        <v>367</v>
      </c>
      <c r="F319" s="67" t="s">
        <v>154</v>
      </c>
      <c r="G319" s="191">
        <v>8.8000000000000007</v>
      </c>
      <c r="H319" s="191">
        <v>7.5</v>
      </c>
      <c r="I319" s="191">
        <v>0.85</v>
      </c>
      <c r="J319" s="66" t="s">
        <v>188</v>
      </c>
      <c r="K319" s="72">
        <f t="shared" ref="K319:T319" si="339">K288</f>
        <v>1</v>
      </c>
      <c r="L319" s="61">
        <f t="shared" si="339"/>
        <v>-1</v>
      </c>
      <c r="M319" s="61">
        <f t="shared" si="339"/>
        <v>1</v>
      </c>
      <c r="N319" s="61">
        <f t="shared" si="339"/>
        <v>1</v>
      </c>
      <c r="O319" s="61">
        <f t="shared" si="339"/>
        <v>0</v>
      </c>
      <c r="P319" s="61">
        <f t="shared" si="339"/>
        <v>1</v>
      </c>
      <c r="Q319" s="96">
        <f t="shared" si="339"/>
        <v>68</v>
      </c>
      <c r="R319" s="96">
        <f t="shared" si="339"/>
        <v>0</v>
      </c>
      <c r="S319" s="75" t="str">
        <f t="shared" si="339"/>
        <v xml:space="preserve">SplitHeatPump  </v>
      </c>
      <c r="T319" s="62" t="str">
        <f t="shared" si="339"/>
        <v xml:space="preserve">SplitHeatPump  </v>
      </c>
      <c r="U319" s="92">
        <f t="shared" si="286"/>
        <v>0</v>
      </c>
      <c r="V319" s="6">
        <f t="shared" si="321"/>
        <v>1</v>
      </c>
      <c r="W319" s="6">
        <f t="shared" si="288"/>
        <v>1</v>
      </c>
      <c r="X319" s="6">
        <f t="shared" si="289"/>
        <v>0</v>
      </c>
      <c r="Y319" s="48">
        <v>1</v>
      </c>
      <c r="Z319" s="61" t="s">
        <v>0</v>
      </c>
      <c r="AA319" s="62" t="str">
        <f t="shared" si="290"/>
        <v>AirToWaterHeatPump - Air to water heat pump (able to heat DHW)</v>
      </c>
    </row>
    <row r="320" spans="3:29" x14ac:dyDescent="0.25">
      <c r="C320" s="61">
        <f t="shared" ref="C320:D320" si="340">C319</f>
        <v>2025</v>
      </c>
      <c r="D320" s="6">
        <f t="shared" si="340"/>
        <v>2026</v>
      </c>
      <c r="E320" t="s">
        <v>801</v>
      </c>
      <c r="F320" s="67" t="s">
        <v>154</v>
      </c>
      <c r="G320" s="191">
        <v>8.8000000000000007</v>
      </c>
      <c r="H320" s="191">
        <v>7.5</v>
      </c>
      <c r="I320" s="191">
        <v>0.85</v>
      </c>
      <c r="J320" s="66" t="s">
        <v>188</v>
      </c>
      <c r="K320" s="72">
        <f t="shared" ref="K320:T320" si="341">K289</f>
        <v>1</v>
      </c>
      <c r="L320" s="61">
        <f t="shared" si="341"/>
        <v>1</v>
      </c>
      <c r="M320" s="61">
        <f t="shared" si="341"/>
        <v>1</v>
      </c>
      <c r="N320" s="61">
        <f t="shared" si="341"/>
        <v>1</v>
      </c>
      <c r="O320" s="61">
        <f t="shared" si="341"/>
        <v>0</v>
      </c>
      <c r="P320" s="61">
        <f t="shared" si="341"/>
        <v>1</v>
      </c>
      <c r="Q320" s="96">
        <f t="shared" si="341"/>
        <v>68</v>
      </c>
      <c r="R320" s="96">
        <f t="shared" si="341"/>
        <v>0</v>
      </c>
      <c r="S320" s="75" t="str">
        <f t="shared" si="341"/>
        <v xml:space="preserve">SplitHeatPump  </v>
      </c>
      <c r="T320" s="62" t="str">
        <f t="shared" si="341"/>
        <v xml:space="preserve">SplitHeatPump  </v>
      </c>
      <c r="U320" s="92">
        <f t="shared" ref="U320" si="342">IF(AND(ISNUMBER(F320), F320&gt;0), 1, 0)</f>
        <v>0</v>
      </c>
      <c r="V320" s="6">
        <f t="shared" ref="V320" si="343">IF(AND(ISNUMBER(G320), G320&gt;0), 1, 0)</f>
        <v>1</v>
      </c>
      <c r="W320" s="6">
        <f t="shared" ref="W320" si="344">IF(AND(ISNUMBER(H320), H320&gt;0), 1, 0)</f>
        <v>1</v>
      </c>
      <c r="X320" s="6">
        <f t="shared" ref="X320" si="345">IF(AND(ISNUMBER(J320), J320&gt;0), 1, 0)</f>
        <v>0</v>
      </c>
      <c r="Y320" s="48">
        <v>1</v>
      </c>
      <c r="Z320" s="61" t="s">
        <v>0</v>
      </c>
      <c r="AA320" s="62" t="str">
        <f t="shared" si="290"/>
        <v>HeatPumpDHWCombo - Combined Heating / DHW Heat Pump</v>
      </c>
      <c r="AC320" s="62"/>
    </row>
    <row r="321" spans="1:29" x14ac:dyDescent="0.25">
      <c r="C321" s="61">
        <f t="shared" ref="C321:D321" si="346">C320</f>
        <v>2025</v>
      </c>
      <c r="D321" s="6">
        <f t="shared" si="346"/>
        <v>2026</v>
      </c>
      <c r="E321" t="s">
        <v>366</v>
      </c>
      <c r="F321" s="67" t="s">
        <v>154</v>
      </c>
      <c r="G321" s="191">
        <v>8.8000000000000007</v>
      </c>
      <c r="H321" s="191">
        <v>7.5</v>
      </c>
      <c r="I321" s="191">
        <v>0.85</v>
      </c>
      <c r="J321" s="66" t="s">
        <v>188</v>
      </c>
      <c r="K321" s="72">
        <f t="shared" ref="K321:T321" si="347">K290</f>
        <v>1</v>
      </c>
      <c r="L321" s="61">
        <f t="shared" si="347"/>
        <v>-1</v>
      </c>
      <c r="M321" s="61">
        <f t="shared" si="347"/>
        <v>1</v>
      </c>
      <c r="N321" s="61">
        <f t="shared" si="347"/>
        <v>1</v>
      </c>
      <c r="O321" s="61">
        <f t="shared" si="347"/>
        <v>0</v>
      </c>
      <c r="P321" s="61">
        <f t="shared" si="347"/>
        <v>1</v>
      </c>
      <c r="Q321" s="96">
        <f t="shared" si="347"/>
        <v>68</v>
      </c>
      <c r="R321" s="96">
        <f t="shared" si="347"/>
        <v>1</v>
      </c>
      <c r="S321" s="75" t="str">
        <f t="shared" si="347"/>
        <v xml:space="preserve">SplitHeatPump  </v>
      </c>
      <c r="T321" s="62" t="str">
        <f t="shared" si="347"/>
        <v xml:space="preserve">SplitHeatPump  </v>
      </c>
      <c r="U321" s="92">
        <f t="shared" si="286"/>
        <v>0</v>
      </c>
      <c r="V321" s="6">
        <f t="shared" si="321"/>
        <v>1</v>
      </c>
      <c r="W321" s="6">
        <f t="shared" si="288"/>
        <v>1</v>
      </c>
      <c r="X321" s="6">
        <f t="shared" si="289"/>
        <v>0</v>
      </c>
      <c r="Y321" s="48">
        <v>1</v>
      </c>
      <c r="Z321" s="61" t="s">
        <v>0</v>
      </c>
      <c r="AA321" s="62" t="str">
        <f t="shared" si="290"/>
        <v>GroundSourceHeatPump - Ground source heat pump (able to heat DHW)</v>
      </c>
    </row>
    <row r="322" spans="1:29" x14ac:dyDescent="0.25">
      <c r="C322" s="61">
        <f t="shared" ref="C322:D322" si="348">C321</f>
        <v>2025</v>
      </c>
      <c r="D322" s="6">
        <f t="shared" si="348"/>
        <v>2026</v>
      </c>
      <c r="E322" t="s">
        <v>549</v>
      </c>
      <c r="F322" s="67" t="s">
        <v>154</v>
      </c>
      <c r="G322" s="191">
        <v>8.8000000000000007</v>
      </c>
      <c r="H322" s="191">
        <v>7.5</v>
      </c>
      <c r="I322" s="191">
        <v>0.85</v>
      </c>
      <c r="J322" s="66" t="s">
        <v>188</v>
      </c>
      <c r="K322" s="228">
        <v>0</v>
      </c>
      <c r="L322" s="61">
        <f t="shared" ref="L322:T322" si="349">L291</f>
        <v>-1</v>
      </c>
      <c r="M322" s="61">
        <f t="shared" si="349"/>
        <v>1</v>
      </c>
      <c r="N322" s="61">
        <f t="shared" si="349"/>
        <v>1</v>
      </c>
      <c r="O322" s="61">
        <f t="shared" si="349"/>
        <v>0</v>
      </c>
      <c r="P322" s="61">
        <f t="shared" si="349"/>
        <v>0</v>
      </c>
      <c r="Q322" s="96">
        <f t="shared" si="349"/>
        <v>68</v>
      </c>
      <c r="R322" s="96">
        <f t="shared" si="349"/>
        <v>0</v>
      </c>
      <c r="S322" s="75" t="str">
        <f t="shared" si="349"/>
        <v xml:space="preserve">SplitHeatPump  </v>
      </c>
      <c r="T322" s="62" t="str">
        <f t="shared" si="349"/>
        <v xml:space="preserve">SplitHeatPump  </v>
      </c>
      <c r="U322" s="92">
        <f t="shared" si="286"/>
        <v>0</v>
      </c>
      <c r="V322" s="6">
        <f t="shared" si="321"/>
        <v>1</v>
      </c>
      <c r="W322" s="6">
        <f t="shared" si="288"/>
        <v>1</v>
      </c>
      <c r="X322" s="6">
        <f t="shared" si="289"/>
        <v>0</v>
      </c>
      <c r="Y322" s="48">
        <v>1</v>
      </c>
      <c r="Z322" s="61" t="s">
        <v>0</v>
      </c>
      <c r="AA322" s="62" t="str">
        <f t="shared" si="290"/>
        <v>VCHP - Variable Capacity Heat Pump</v>
      </c>
      <c r="AC322" t="s">
        <v>551</v>
      </c>
    </row>
    <row r="323" spans="1:29" x14ac:dyDescent="0.25">
      <c r="C323" s="61">
        <f t="shared" ref="C323:D325" si="350">C322</f>
        <v>2025</v>
      </c>
      <c r="D323" s="6">
        <f t="shared" si="350"/>
        <v>2026</v>
      </c>
      <c r="E323" t="s">
        <v>728</v>
      </c>
      <c r="F323" s="67" t="s">
        <v>154</v>
      </c>
      <c r="G323" s="10">
        <v>9</v>
      </c>
      <c r="H323" s="189">
        <f>G323*0.85</f>
        <v>7.6499999999999995</v>
      </c>
      <c r="I323" s="191">
        <v>0.85</v>
      </c>
      <c r="J323" s="10">
        <v>2.98</v>
      </c>
      <c r="K323" s="72">
        <f t="shared" ref="K323:T323" si="351">K292</f>
        <v>1</v>
      </c>
      <c r="L323" s="61">
        <f t="shared" si="351"/>
        <v>-1</v>
      </c>
      <c r="M323" s="61">
        <f t="shared" si="351"/>
        <v>1</v>
      </c>
      <c r="N323" s="61">
        <f t="shared" si="351"/>
        <v>1</v>
      </c>
      <c r="O323" s="61">
        <f t="shared" si="351"/>
        <v>0</v>
      </c>
      <c r="P323" s="61">
        <f t="shared" si="351"/>
        <v>0</v>
      </c>
      <c r="Q323" s="96">
        <f t="shared" si="351"/>
        <v>68</v>
      </c>
      <c r="R323" s="96">
        <f t="shared" si="351"/>
        <v>0</v>
      </c>
      <c r="S323" s="75" t="str">
        <f t="shared" si="351"/>
        <v xml:space="preserve">SplitHeatPump  </v>
      </c>
      <c r="T323" s="62" t="str">
        <f t="shared" si="351"/>
        <v xml:space="preserve">SplitHeatPump  </v>
      </c>
      <c r="U323" s="92">
        <f t="shared" si="286"/>
        <v>0</v>
      </c>
      <c r="V323" s="6">
        <f t="shared" si="321"/>
        <v>1</v>
      </c>
      <c r="W323" s="6">
        <f t="shared" si="288"/>
        <v>1</v>
      </c>
      <c r="X323" s="6">
        <f t="shared" si="289"/>
        <v>1</v>
      </c>
      <c r="Y323" s="48">
        <v>1</v>
      </c>
      <c r="Z323" s="61" t="s">
        <v>0</v>
      </c>
      <c r="AA323" s="62" t="str">
        <f t="shared" si="290"/>
        <v>VCHP2 - Variable Capacity Heat Pump</v>
      </c>
      <c r="AC323" t="s">
        <v>551</v>
      </c>
    </row>
    <row r="324" spans="1:29" x14ac:dyDescent="0.25">
      <c r="C324" s="61">
        <f t="shared" si="350"/>
        <v>2025</v>
      </c>
      <c r="D324" s="6">
        <f t="shared" si="350"/>
        <v>2026</v>
      </c>
      <c r="E324" t="s">
        <v>1065</v>
      </c>
      <c r="F324" s="67" t="s">
        <v>154</v>
      </c>
      <c r="G324" s="10">
        <v>9</v>
      </c>
      <c r="H324" s="189">
        <f>G324*0.85</f>
        <v>7.6499999999999995</v>
      </c>
      <c r="I324" s="191">
        <v>0.85</v>
      </c>
      <c r="J324" s="66" t="s">
        <v>188</v>
      </c>
      <c r="K324" s="72">
        <f t="shared" ref="K324:T324" si="352">K293</f>
        <v>1</v>
      </c>
      <c r="L324" s="61">
        <f t="shared" si="352"/>
        <v>-1</v>
      </c>
      <c r="M324" s="61">
        <f t="shared" si="352"/>
        <v>1</v>
      </c>
      <c r="N324" s="61">
        <f t="shared" si="352"/>
        <v>1</v>
      </c>
      <c r="O324" s="61">
        <f t="shared" si="352"/>
        <v>0</v>
      </c>
      <c r="P324" s="61">
        <f t="shared" si="352"/>
        <v>0</v>
      </c>
      <c r="Q324" s="96">
        <f t="shared" si="352"/>
        <v>68</v>
      </c>
      <c r="R324" s="96">
        <f t="shared" si="352"/>
        <v>0</v>
      </c>
      <c r="S324" s="75" t="str">
        <f t="shared" si="352"/>
        <v xml:space="preserve">SplitHeatPump  </v>
      </c>
      <c r="T324" s="62" t="str">
        <f t="shared" si="352"/>
        <v xml:space="preserve">SplitHeatPump  </v>
      </c>
      <c r="U324" s="92">
        <f t="shared" ref="U324" si="353">IF(AND(ISNUMBER(F324), F324&gt;0), 1, 0)</f>
        <v>0</v>
      </c>
      <c r="V324" s="6">
        <f t="shared" ref="V324" si="354">IF(AND(ISNUMBER(G324), G324&gt;0), 1, 0)</f>
        <v>1</v>
      </c>
      <c r="W324" s="6">
        <f t="shared" ref="W324" si="355">IF(AND(ISNUMBER(H324), H324&gt;0), 1, 0)</f>
        <v>1</v>
      </c>
      <c r="X324" s="6">
        <f t="shared" ref="X324" si="356">IF(AND(ISNUMBER(J324), J324&gt;0), 1, 0)</f>
        <v>0</v>
      </c>
      <c r="Y324" s="48">
        <v>1</v>
      </c>
      <c r="Z324" s="61" t="s">
        <v>0</v>
      </c>
      <c r="AA324" s="62" t="str">
        <f t="shared" si="290"/>
        <v>VCHP3</v>
      </c>
      <c r="AC324" t="s">
        <v>551</v>
      </c>
    </row>
    <row r="325" spans="1:29" x14ac:dyDescent="0.25">
      <c r="C325" s="61">
        <f t="shared" si="350"/>
        <v>2025</v>
      </c>
      <c r="D325" s="6">
        <f t="shared" si="350"/>
        <v>2026</v>
      </c>
      <c r="E325" s="225" t="s">
        <v>1153</v>
      </c>
      <c r="F325" s="221" t="s">
        <v>154</v>
      </c>
      <c r="G325" s="55">
        <v>8</v>
      </c>
      <c r="H325" s="188">
        <v>6.7</v>
      </c>
      <c r="I325" s="191">
        <v>0.84</v>
      </c>
      <c r="J325" s="222" t="s">
        <v>188</v>
      </c>
      <c r="K325" s="61">
        <v>1</v>
      </c>
      <c r="L325" s="226">
        <v>0</v>
      </c>
      <c r="M325" s="61">
        <v>1</v>
      </c>
      <c r="N325" s="61">
        <v>1</v>
      </c>
      <c r="O325" s="61">
        <v>0</v>
      </c>
      <c r="P325" s="61">
        <v>0</v>
      </c>
      <c r="Q325" s="223">
        <v>68</v>
      </c>
      <c r="R325" s="223">
        <v>0</v>
      </c>
      <c r="S325" s="62" t="s">
        <v>143</v>
      </c>
      <c r="T325" s="224" t="s">
        <v>143</v>
      </c>
      <c r="U325" s="6">
        <v>0</v>
      </c>
      <c r="V325" s="6">
        <v>1</v>
      </c>
      <c r="W325" s="6">
        <v>1</v>
      </c>
      <c r="X325" s="6">
        <v>0</v>
      </c>
      <c r="Y325" s="48">
        <v>1</v>
      </c>
      <c r="Z325" s="61" t="s">
        <v>0</v>
      </c>
      <c r="AA325" s="54" t="s">
        <v>1154</v>
      </c>
    </row>
    <row r="326" spans="1:29" x14ac:dyDescent="0.25">
      <c r="A326" s="173" t="s">
        <v>664</v>
      </c>
      <c r="B326" s="103"/>
      <c r="C326" s="153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26"/>
    </row>
    <row r="327" spans="1:29" x14ac:dyDescent="0.25">
      <c r="C327" s="174" t="s">
        <v>353</v>
      </c>
      <c r="D327" s="174" t="s">
        <v>353</v>
      </c>
      <c r="E327" s="119" t="s">
        <v>665</v>
      </c>
      <c r="F327" s="67" t="s">
        <v>154</v>
      </c>
      <c r="G327" s="66" t="s">
        <v>155</v>
      </c>
      <c r="H327" s="66" t="s">
        <v>189</v>
      </c>
      <c r="I327" s="66" t="s">
        <v>189</v>
      </c>
      <c r="J327" s="66" t="s">
        <v>188</v>
      </c>
      <c r="K327" s="72">
        <v>0</v>
      </c>
      <c r="L327" s="61">
        <v>0</v>
      </c>
      <c r="M327" s="61">
        <v>0</v>
      </c>
      <c r="N327" s="61">
        <v>0</v>
      </c>
      <c r="O327" s="61">
        <v>0</v>
      </c>
      <c r="P327" s="61">
        <v>0</v>
      </c>
      <c r="Q327" s="96">
        <v>-1</v>
      </c>
      <c r="R327" s="96">
        <v>0</v>
      </c>
      <c r="S327" s="75" t="s">
        <v>227</v>
      </c>
      <c r="T327" s="62" t="s">
        <v>227</v>
      </c>
      <c r="U327" s="92">
        <f t="shared" ref="U327" si="357">IF(AND(ISNUMBER(F327), F327&gt;0), 1, 0)</f>
        <v>0</v>
      </c>
      <c r="V327" s="6">
        <f>IF(AND(ISNUMBER(G327), G327&gt;0), 1, 0)</f>
        <v>0</v>
      </c>
      <c r="W327" s="6">
        <f>IF(AND(ISNUMBER(H327), H327&gt;0), 1, 0)</f>
        <v>0</v>
      </c>
      <c r="X327" s="6">
        <f t="shared" ref="X327" si="358">IF(AND(ISNUMBER(J327), J327&gt;0), 1, 0)</f>
        <v>0</v>
      </c>
      <c r="Y327" s="61">
        <v>-1</v>
      </c>
      <c r="Z327" s="61" t="s">
        <v>0</v>
      </c>
      <c r="AA327" s="62" t="s">
        <v>666</v>
      </c>
    </row>
    <row r="328" spans="1:29" x14ac:dyDescent="0.25">
      <c r="C328" s="153"/>
      <c r="D328" s="169" t="s">
        <v>154</v>
      </c>
      <c r="E328" s="170" t="s">
        <v>156</v>
      </c>
      <c r="F328" s="170"/>
      <c r="G328" s="170"/>
      <c r="H328" s="170"/>
      <c r="I328" s="170"/>
      <c r="J328" s="170"/>
      <c r="K328" s="170"/>
      <c r="L328" s="170"/>
      <c r="M328" s="170"/>
      <c r="N328" s="170"/>
      <c r="O328" s="170"/>
      <c r="P328" s="170"/>
      <c r="Q328" s="170"/>
      <c r="R328" s="170"/>
      <c r="S328" s="170"/>
      <c r="T328" s="170"/>
      <c r="U328" s="170"/>
      <c r="V328" s="170"/>
      <c r="W328" s="170"/>
      <c r="X328" s="170"/>
      <c r="Y328" s="175"/>
    </row>
    <row r="329" spans="1:29" x14ac:dyDescent="0.25">
      <c r="D329" s="66" t="s">
        <v>155</v>
      </c>
      <c r="E329" s="65" t="s">
        <v>157</v>
      </c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</row>
    <row r="330" spans="1:29" x14ac:dyDescent="0.25">
      <c r="D330" s="66" t="s">
        <v>188</v>
      </c>
      <c r="E330" s="65" t="s">
        <v>671</v>
      </c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</row>
    <row r="331" spans="1:29" x14ac:dyDescent="0.25">
      <c r="D331" s="66" t="s">
        <v>189</v>
      </c>
      <c r="E331" s="65" t="s">
        <v>748</v>
      </c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</row>
    <row r="332" spans="1:29" x14ac:dyDescent="0.25">
      <c r="B332" s="24" t="s">
        <v>50</v>
      </c>
      <c r="C332" s="6"/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08"/>
  <sheetViews>
    <sheetView topLeftCell="C17" zoomScale="80" zoomScaleNormal="80" workbookViewId="0">
      <selection activeCell="C48" sqref="A48:XFD48"/>
    </sheetView>
  </sheetViews>
  <sheetFormatPr defaultRowHeight="15" x14ac:dyDescent="0.25"/>
  <cols>
    <col min="1" max="1" width="3.7109375" customWidth="1"/>
    <col min="2" max="2" width="5.7109375" customWidth="1"/>
    <col min="3" max="3" width="10" style="1" customWidth="1"/>
    <col min="4" max="4" width="9.140625" customWidth="1"/>
    <col min="5" max="5" width="30.42578125" customWidth="1"/>
    <col min="8" max="8" width="13.42578125" customWidth="1"/>
    <col min="11" max="11" width="11.7109375" customWidth="1"/>
    <col min="13" max="13" width="10.28515625" customWidth="1"/>
    <col min="18" max="18" width="14.140625" customWidth="1"/>
    <col min="19" max="19" width="10.140625" bestFit="1" customWidth="1"/>
    <col min="20" max="20" width="15.140625" customWidth="1"/>
    <col min="21" max="21" width="9.5703125" customWidth="1"/>
    <col min="22" max="22" width="10.140625" customWidth="1"/>
    <col min="23" max="23" width="8.42578125" customWidth="1"/>
    <col min="24" max="24" width="9.85546875" customWidth="1"/>
    <col min="25" max="25" width="10.42578125" customWidth="1"/>
    <col min="26" max="26" width="15" bestFit="1" customWidth="1"/>
    <col min="27" max="27" width="3.140625" customWidth="1"/>
    <col min="28" max="28" width="45.5703125" customWidth="1"/>
    <col min="29" max="29" width="18.5703125" customWidth="1"/>
  </cols>
  <sheetData>
    <row r="1" spans="1:8" x14ac:dyDescent="0.25">
      <c r="A1" t="s">
        <v>0</v>
      </c>
      <c r="B1" t="s">
        <v>1</v>
      </c>
    </row>
    <row r="2" spans="1:8" x14ac:dyDescent="0.25">
      <c r="A2" t="s">
        <v>0</v>
      </c>
      <c r="B2" t="s">
        <v>114</v>
      </c>
    </row>
    <row r="3" spans="1:8" x14ac:dyDescent="0.25">
      <c r="A3" t="s">
        <v>0</v>
      </c>
      <c r="B3" t="s">
        <v>3</v>
      </c>
      <c r="E3" t="s">
        <v>1156</v>
      </c>
    </row>
    <row r="4" spans="1:8" x14ac:dyDescent="0.25">
      <c r="A4" t="s">
        <v>0</v>
      </c>
    </row>
    <row r="5" spans="1:8" x14ac:dyDescent="0.25">
      <c r="A5" t="s">
        <v>0</v>
      </c>
      <c r="B5" t="s">
        <v>24</v>
      </c>
    </row>
    <row r="6" spans="1:8" x14ac:dyDescent="0.25">
      <c r="A6" t="s">
        <v>0</v>
      </c>
      <c r="D6" s="10">
        <v>1</v>
      </c>
      <c r="E6" s="54" t="s">
        <v>25</v>
      </c>
      <c r="F6" s="54"/>
      <c r="G6" s="54"/>
      <c r="H6" s="54"/>
    </row>
    <row r="7" spans="1:8" x14ac:dyDescent="0.25">
      <c r="A7" t="s">
        <v>0</v>
      </c>
      <c r="E7" s="54"/>
      <c r="F7" s="54" t="s">
        <v>26</v>
      </c>
      <c r="G7" s="54"/>
      <c r="H7" s="54"/>
    </row>
    <row r="8" spans="1:8" x14ac:dyDescent="0.25">
      <c r="A8" t="s">
        <v>0</v>
      </c>
      <c r="E8" s="54"/>
      <c r="F8" s="54" t="s">
        <v>27</v>
      </c>
      <c r="G8" s="54"/>
      <c r="H8" s="54"/>
    </row>
    <row r="9" spans="1:8" x14ac:dyDescent="0.25">
      <c r="A9" t="s">
        <v>0</v>
      </c>
      <c r="E9" s="54"/>
      <c r="F9" s="54" t="s">
        <v>28</v>
      </c>
      <c r="G9" s="54"/>
      <c r="H9" s="54"/>
    </row>
    <row r="10" spans="1:8" x14ac:dyDescent="0.25">
      <c r="A10" t="s">
        <v>0</v>
      </c>
      <c r="D10" s="14">
        <v>2</v>
      </c>
      <c r="E10" s="24" t="s">
        <v>168</v>
      </c>
    </row>
    <row r="11" spans="1:8" x14ac:dyDescent="0.25">
      <c r="A11" t="s">
        <v>0</v>
      </c>
    </row>
    <row r="12" spans="1:8" x14ac:dyDescent="0.25">
      <c r="A12" t="s">
        <v>0</v>
      </c>
    </row>
    <row r="13" spans="1:8" x14ac:dyDescent="0.25">
      <c r="A13" t="s">
        <v>0</v>
      </c>
      <c r="B13" t="s">
        <v>29</v>
      </c>
    </row>
    <row r="14" spans="1:8" x14ac:dyDescent="0.25">
      <c r="A14" t="s">
        <v>0</v>
      </c>
      <c r="D14" s="11">
        <v>0</v>
      </c>
      <c r="E14" t="s">
        <v>30</v>
      </c>
    </row>
    <row r="15" spans="1:8" x14ac:dyDescent="0.25">
      <c r="A15" t="s">
        <v>0</v>
      </c>
    </row>
    <row r="16" spans="1:8" x14ac:dyDescent="0.25">
      <c r="A16" t="s">
        <v>0</v>
      </c>
      <c r="B16" t="s">
        <v>4</v>
      </c>
      <c r="E16" t="s">
        <v>97</v>
      </c>
    </row>
    <row r="17" spans="1:30" x14ac:dyDescent="0.25">
      <c r="A17" t="s">
        <v>0</v>
      </c>
      <c r="E17" t="s">
        <v>153</v>
      </c>
    </row>
    <row r="18" spans="1:30" x14ac:dyDescent="0.25">
      <c r="A18" t="s">
        <v>0</v>
      </c>
      <c r="E18" t="s">
        <v>172</v>
      </c>
    </row>
    <row r="19" spans="1:30" x14ac:dyDescent="0.25">
      <c r="A19" t="s">
        <v>0</v>
      </c>
      <c r="E19" t="s">
        <v>230</v>
      </c>
    </row>
    <row r="20" spans="1:30" x14ac:dyDescent="0.25">
      <c r="A20" t="s">
        <v>0</v>
      </c>
      <c r="E20" t="s">
        <v>235</v>
      </c>
      <c r="AD20" t="s">
        <v>136</v>
      </c>
    </row>
    <row r="21" spans="1:30" x14ac:dyDescent="0.25">
      <c r="A21" t="s">
        <v>0</v>
      </c>
      <c r="E21" t="s">
        <v>241</v>
      </c>
      <c r="AD21" t="s">
        <v>234</v>
      </c>
    </row>
    <row r="22" spans="1:30" x14ac:dyDescent="0.25">
      <c r="A22" t="s">
        <v>0</v>
      </c>
      <c r="E22" t="s">
        <v>247</v>
      </c>
    </row>
    <row r="23" spans="1:30" x14ac:dyDescent="0.25">
      <c r="A23" t="s">
        <v>0</v>
      </c>
      <c r="E23" t="s">
        <v>249</v>
      </c>
    </row>
    <row r="24" spans="1:30" x14ac:dyDescent="0.25">
      <c r="A24" t="s">
        <v>0</v>
      </c>
      <c r="E24" t="s">
        <v>371</v>
      </c>
    </row>
    <row r="25" spans="1:30" x14ac:dyDescent="0.25">
      <c r="A25" t="s">
        <v>0</v>
      </c>
      <c r="E25" t="s">
        <v>382</v>
      </c>
    </row>
    <row r="26" spans="1:30" x14ac:dyDescent="0.25">
      <c r="A26" t="s">
        <v>0</v>
      </c>
      <c r="E26" t="s">
        <v>436</v>
      </c>
    </row>
    <row r="27" spans="1:30" x14ac:dyDescent="0.25">
      <c r="A27" t="s">
        <v>0</v>
      </c>
      <c r="E27" t="s">
        <v>514</v>
      </c>
    </row>
    <row r="28" spans="1:30" x14ac:dyDescent="0.25">
      <c r="A28" t="s">
        <v>0</v>
      </c>
      <c r="E28" t="s">
        <v>548</v>
      </c>
    </row>
    <row r="29" spans="1:30" x14ac:dyDescent="0.25">
      <c r="A29" t="s">
        <v>0</v>
      </c>
      <c r="E29" t="s">
        <v>552</v>
      </c>
    </row>
    <row r="30" spans="1:30" x14ac:dyDescent="0.25">
      <c r="A30" t="s">
        <v>0</v>
      </c>
      <c r="E30" t="s">
        <v>637</v>
      </c>
    </row>
    <row r="31" spans="1:30" x14ac:dyDescent="0.25">
      <c r="A31" t="s">
        <v>0</v>
      </c>
      <c r="E31" t="s">
        <v>670</v>
      </c>
    </row>
    <row r="32" spans="1:30" x14ac:dyDescent="0.25">
      <c r="A32" t="s">
        <v>0</v>
      </c>
      <c r="E32" t="s">
        <v>696</v>
      </c>
    </row>
    <row r="33" spans="1:5" x14ac:dyDescent="0.25">
      <c r="A33" t="s">
        <v>0</v>
      </c>
      <c r="E33" t="s">
        <v>709</v>
      </c>
    </row>
    <row r="34" spans="1:5" x14ac:dyDescent="0.25">
      <c r="A34" t="s">
        <v>0</v>
      </c>
      <c r="E34" t="s">
        <v>716</v>
      </c>
    </row>
    <row r="35" spans="1:5" x14ac:dyDescent="0.25">
      <c r="A35" t="s">
        <v>0</v>
      </c>
      <c r="E35" t="s">
        <v>730</v>
      </c>
    </row>
    <row r="36" spans="1:5" x14ac:dyDescent="0.25">
      <c r="A36" t="s">
        <v>0</v>
      </c>
      <c r="E36" t="s">
        <v>739</v>
      </c>
    </row>
    <row r="37" spans="1:5" x14ac:dyDescent="0.25">
      <c r="A37" t="s">
        <v>0</v>
      </c>
      <c r="E37" t="s">
        <v>750</v>
      </c>
    </row>
    <row r="38" spans="1:5" x14ac:dyDescent="0.25">
      <c r="A38" t="s">
        <v>0</v>
      </c>
      <c r="E38" t="s">
        <v>755</v>
      </c>
    </row>
    <row r="39" spans="1:5" x14ac:dyDescent="0.25">
      <c r="A39" t="s">
        <v>0</v>
      </c>
      <c r="E39" t="s">
        <v>760</v>
      </c>
    </row>
    <row r="40" spans="1:5" x14ac:dyDescent="0.25">
      <c r="A40" t="s">
        <v>0</v>
      </c>
      <c r="E40" t="s">
        <v>761</v>
      </c>
    </row>
    <row r="41" spans="1:5" x14ac:dyDescent="0.25">
      <c r="A41" t="s">
        <v>0</v>
      </c>
      <c r="E41" t="s">
        <v>762</v>
      </c>
    </row>
    <row r="42" spans="1:5" x14ac:dyDescent="0.25">
      <c r="A42" t="s">
        <v>0</v>
      </c>
      <c r="E42" t="s">
        <v>765</v>
      </c>
    </row>
    <row r="43" spans="1:5" x14ac:dyDescent="0.25">
      <c r="A43" t="s">
        <v>0</v>
      </c>
      <c r="E43" t="s">
        <v>766</v>
      </c>
    </row>
    <row r="44" spans="1:5" x14ac:dyDescent="0.25">
      <c r="A44" t="s">
        <v>0</v>
      </c>
      <c r="E44" t="s">
        <v>800</v>
      </c>
    </row>
    <row r="45" spans="1:5" x14ac:dyDescent="0.25">
      <c r="A45" t="s">
        <v>0</v>
      </c>
      <c r="E45" t="s">
        <v>1062</v>
      </c>
    </row>
    <row r="46" spans="1:5" x14ac:dyDescent="0.25">
      <c r="A46" t="s">
        <v>0</v>
      </c>
      <c r="E46" t="s">
        <v>1101</v>
      </c>
    </row>
    <row r="47" spans="1:5" x14ac:dyDescent="0.25">
      <c r="A47" t="s">
        <v>0</v>
      </c>
      <c r="E47" t="s">
        <v>1152</v>
      </c>
    </row>
    <row r="48" spans="1:5" x14ac:dyDescent="0.25">
      <c r="A48" t="s">
        <v>0</v>
      </c>
      <c r="E48" t="s">
        <v>1157</v>
      </c>
    </row>
    <row r="49" spans="1:9" x14ac:dyDescent="0.25">
      <c r="A49" t="s">
        <v>0</v>
      </c>
    </row>
    <row r="50" spans="1:9" x14ac:dyDescent="0.25">
      <c r="A50" t="s">
        <v>0</v>
      </c>
      <c r="B50" t="s">
        <v>6</v>
      </c>
    </row>
    <row r="51" spans="1:9" x14ac:dyDescent="0.25">
      <c r="A51" t="s">
        <v>0</v>
      </c>
      <c r="D51" s="1">
        <v>1</v>
      </c>
      <c r="E51" t="s">
        <v>437</v>
      </c>
    </row>
    <row r="52" spans="1:9" x14ac:dyDescent="0.25">
      <c r="A52" t="s">
        <v>0</v>
      </c>
      <c r="D52" s="1">
        <v>2</v>
      </c>
      <c r="E52" t="s">
        <v>162</v>
      </c>
      <c r="G52" s="1">
        <v>2014</v>
      </c>
      <c r="H52" s="1"/>
      <c r="I52" t="s">
        <v>163</v>
      </c>
    </row>
    <row r="53" spans="1:9" x14ac:dyDescent="0.25">
      <c r="A53" t="s">
        <v>0</v>
      </c>
      <c r="D53" s="1"/>
      <c r="G53" s="1">
        <v>2015</v>
      </c>
      <c r="H53" s="1"/>
      <c r="I53" t="s">
        <v>164</v>
      </c>
    </row>
    <row r="54" spans="1:9" x14ac:dyDescent="0.25">
      <c r="A54" t="s">
        <v>0</v>
      </c>
      <c r="D54" s="1">
        <v>3</v>
      </c>
      <c r="E54" t="s">
        <v>198</v>
      </c>
    </row>
    <row r="55" spans="1:9" x14ac:dyDescent="0.25">
      <c r="A55" t="s">
        <v>0</v>
      </c>
      <c r="D55" s="1"/>
    </row>
    <row r="56" spans="1:9" x14ac:dyDescent="0.25">
      <c r="A56" t="s">
        <v>0</v>
      </c>
      <c r="B56" t="s">
        <v>7</v>
      </c>
      <c r="D56" s="1"/>
    </row>
    <row r="57" spans="1:9" x14ac:dyDescent="0.25">
      <c r="A57" t="s">
        <v>0</v>
      </c>
      <c r="D57" s="1">
        <v>1</v>
      </c>
      <c r="E57" t="s">
        <v>194</v>
      </c>
    </row>
    <row r="58" spans="1:9" x14ac:dyDescent="0.25">
      <c r="A58" t="s">
        <v>0</v>
      </c>
      <c r="D58" s="1">
        <v>2</v>
      </c>
      <c r="E58" t="s">
        <v>740</v>
      </c>
    </row>
    <row r="59" spans="1:9" x14ac:dyDescent="0.25">
      <c r="A59" t="s">
        <v>0</v>
      </c>
      <c r="D59" s="1">
        <v>3</v>
      </c>
      <c r="E59" t="s">
        <v>753</v>
      </c>
    </row>
    <row r="60" spans="1:9" x14ac:dyDescent="0.25">
      <c r="A60" t="s">
        <v>0</v>
      </c>
      <c r="D60" s="1">
        <v>4</v>
      </c>
      <c r="E60" t="s">
        <v>195</v>
      </c>
    </row>
    <row r="61" spans="1:9" x14ac:dyDescent="0.25">
      <c r="A61" t="s">
        <v>0</v>
      </c>
      <c r="D61" s="1">
        <v>5</v>
      </c>
      <c r="E61" t="s">
        <v>741</v>
      </c>
    </row>
    <row r="62" spans="1:9" x14ac:dyDescent="0.25">
      <c r="A62" t="s">
        <v>0</v>
      </c>
      <c r="D62" s="1">
        <v>6</v>
      </c>
      <c r="E62" t="s">
        <v>754</v>
      </c>
    </row>
    <row r="63" spans="1:9" x14ac:dyDescent="0.25">
      <c r="A63" t="s">
        <v>0</v>
      </c>
      <c r="D63" s="1">
        <v>7</v>
      </c>
      <c r="E63" t="s">
        <v>714</v>
      </c>
    </row>
    <row r="64" spans="1:9" x14ac:dyDescent="0.25">
      <c r="A64" t="s">
        <v>0</v>
      </c>
      <c r="D64" s="1">
        <v>8</v>
      </c>
      <c r="E64" t="s">
        <v>196</v>
      </c>
    </row>
    <row r="65" spans="1:26" x14ac:dyDescent="0.25">
      <c r="A65" t="s">
        <v>0</v>
      </c>
      <c r="D65" s="1">
        <v>9</v>
      </c>
      <c r="E65" t="s">
        <v>197</v>
      </c>
    </row>
    <row r="66" spans="1:26" x14ac:dyDescent="0.25">
      <c r="A66" t="s">
        <v>0</v>
      </c>
      <c r="D66" s="1">
        <v>10</v>
      </c>
      <c r="E66" t="s">
        <v>158</v>
      </c>
    </row>
    <row r="67" spans="1:26" x14ac:dyDescent="0.25">
      <c r="A67" t="s">
        <v>0</v>
      </c>
      <c r="D67" s="1">
        <v>11</v>
      </c>
      <c r="E67" t="s">
        <v>159</v>
      </c>
    </row>
    <row r="68" spans="1:26" x14ac:dyDescent="0.25">
      <c r="A68" t="s">
        <v>0</v>
      </c>
      <c r="D68" s="1">
        <v>12</v>
      </c>
      <c r="E68" t="s">
        <v>171</v>
      </c>
    </row>
    <row r="69" spans="1:26" x14ac:dyDescent="0.25">
      <c r="A69" t="s">
        <v>0</v>
      </c>
      <c r="D69" s="1">
        <v>13</v>
      </c>
      <c r="E69" t="s">
        <v>233</v>
      </c>
    </row>
    <row r="70" spans="1:26" x14ac:dyDescent="0.25">
      <c r="A70" t="s">
        <v>0</v>
      </c>
      <c r="D70" s="1">
        <v>14</v>
      </c>
      <c r="E70" t="s">
        <v>362</v>
      </c>
    </row>
    <row r="71" spans="1:26" x14ac:dyDescent="0.25">
      <c r="A71" t="s">
        <v>0</v>
      </c>
      <c r="D71" s="1">
        <v>15</v>
      </c>
      <c r="E71" t="s">
        <v>232</v>
      </c>
    </row>
    <row r="72" spans="1:26" x14ac:dyDescent="0.25">
      <c r="A72" t="s">
        <v>0</v>
      </c>
      <c r="D72" s="1">
        <v>16</v>
      </c>
      <c r="E72" t="s">
        <v>244</v>
      </c>
    </row>
    <row r="73" spans="1:26" x14ac:dyDescent="0.25">
      <c r="A73" t="s">
        <v>0</v>
      </c>
      <c r="D73" s="1">
        <v>17</v>
      </c>
      <c r="E73" t="s">
        <v>742</v>
      </c>
    </row>
    <row r="74" spans="1:26" x14ac:dyDescent="0.25">
      <c r="A74" t="s">
        <v>0</v>
      </c>
      <c r="D74" s="1">
        <v>18</v>
      </c>
      <c r="E74" t="s">
        <v>246</v>
      </c>
    </row>
    <row r="75" spans="1:26" x14ac:dyDescent="0.25">
      <c r="A75" t="s">
        <v>0</v>
      </c>
      <c r="D75" s="1">
        <v>19</v>
      </c>
      <c r="E75" t="s">
        <v>743</v>
      </c>
    </row>
    <row r="76" spans="1:26" x14ac:dyDescent="0.25">
      <c r="A76" t="s">
        <v>0</v>
      </c>
      <c r="D76" s="1">
        <v>20</v>
      </c>
      <c r="E76" t="s">
        <v>715</v>
      </c>
    </row>
    <row r="77" spans="1:26" x14ac:dyDescent="0.25">
      <c r="A77" t="s">
        <v>0</v>
      </c>
      <c r="D77" s="1">
        <v>21</v>
      </c>
      <c r="E77" t="s">
        <v>669</v>
      </c>
    </row>
    <row r="78" spans="1:26" x14ac:dyDescent="0.25">
      <c r="A78" t="s">
        <v>0</v>
      </c>
    </row>
    <row r="79" spans="1:26" x14ac:dyDescent="0.25">
      <c r="A79" t="s">
        <v>0</v>
      </c>
      <c r="D79" s="1"/>
      <c r="F79" s="6">
        <v>1</v>
      </c>
      <c r="G79" s="6">
        <f t="shared" ref="G79" si="0">F79+1</f>
        <v>2</v>
      </c>
      <c r="H79" s="6">
        <f t="shared" ref="H79" si="1">G79+1</f>
        <v>3</v>
      </c>
      <c r="I79" s="6">
        <f t="shared" ref="I79" si="2">H79+1</f>
        <v>4</v>
      </c>
      <c r="J79" s="6">
        <f t="shared" ref="J79" si="3">I79+1</f>
        <v>5</v>
      </c>
      <c r="K79" s="6">
        <f t="shared" ref="K79" si="4">J79+1</f>
        <v>6</v>
      </c>
      <c r="L79" s="6">
        <f t="shared" ref="L79" si="5">K79+1</f>
        <v>7</v>
      </c>
      <c r="M79" s="6">
        <f t="shared" ref="M79:T79" si="6">L79+1</f>
        <v>8</v>
      </c>
      <c r="N79" s="6">
        <f t="shared" si="6"/>
        <v>9</v>
      </c>
      <c r="O79" s="6">
        <f t="shared" si="6"/>
        <v>10</v>
      </c>
      <c r="P79" s="6">
        <f t="shared" si="6"/>
        <v>11</v>
      </c>
      <c r="Q79" s="6">
        <f t="shared" si="6"/>
        <v>12</v>
      </c>
      <c r="R79" s="6">
        <f t="shared" si="6"/>
        <v>13</v>
      </c>
      <c r="S79" s="6">
        <f t="shared" si="6"/>
        <v>14</v>
      </c>
      <c r="T79" s="6">
        <f t="shared" si="6"/>
        <v>15</v>
      </c>
      <c r="U79" s="6">
        <f t="shared" ref="U79" si="7">T79+1</f>
        <v>16</v>
      </c>
      <c r="V79" s="6">
        <f t="shared" ref="V79" si="8">U79+1</f>
        <v>17</v>
      </c>
      <c r="W79" s="6">
        <f t="shared" ref="W79" si="9">V79+1</f>
        <v>18</v>
      </c>
      <c r="X79" s="6">
        <f t="shared" ref="X79" si="10">W79+1</f>
        <v>19</v>
      </c>
      <c r="Y79" s="6">
        <f t="shared" ref="Y79" si="11">X79+1</f>
        <v>20</v>
      </c>
      <c r="Z79" s="6">
        <f t="shared" ref="Z79" si="12">Y79+1</f>
        <v>21</v>
      </c>
    </row>
    <row r="80" spans="1:26" x14ac:dyDescent="0.25">
      <c r="A80" t="s">
        <v>0</v>
      </c>
      <c r="F80" s="16"/>
      <c r="G80" s="1"/>
      <c r="H80" s="1"/>
      <c r="I80" s="1"/>
      <c r="J80" s="1"/>
      <c r="K80" s="1"/>
      <c r="L80" s="1"/>
      <c r="N80" s="1" t="s">
        <v>134</v>
      </c>
    </row>
    <row r="81" spans="1:30" x14ac:dyDescent="0.25">
      <c r="B81" s="27" t="s">
        <v>547</v>
      </c>
      <c r="C81" s="150"/>
      <c r="E81" s="2"/>
      <c r="F81" s="16"/>
      <c r="G81" s="1"/>
      <c r="H81" s="1"/>
      <c r="I81" s="1"/>
      <c r="J81" s="1"/>
      <c r="K81" s="1"/>
      <c r="L81" s="1"/>
      <c r="M81" s="1"/>
    </row>
    <row r="82" spans="1:30" x14ac:dyDescent="0.25">
      <c r="C82" s="4" t="s">
        <v>433</v>
      </c>
      <c r="D82" s="4" t="s">
        <v>139</v>
      </c>
      <c r="E82" s="56" t="s">
        <v>140</v>
      </c>
      <c r="F82" s="17" t="s">
        <v>130</v>
      </c>
      <c r="G82" s="4" t="s">
        <v>731</v>
      </c>
      <c r="H82" s="4" t="s">
        <v>751</v>
      </c>
      <c r="I82" s="4" t="s">
        <v>131</v>
      </c>
      <c r="J82" s="4" t="s">
        <v>732</v>
      </c>
      <c r="K82" s="4" t="s">
        <v>752</v>
      </c>
      <c r="L82" s="4" t="s">
        <v>710</v>
      </c>
      <c r="M82" s="4" t="s">
        <v>132</v>
      </c>
      <c r="N82" s="4" t="s">
        <v>133</v>
      </c>
      <c r="O82" s="17" t="s">
        <v>151</v>
      </c>
      <c r="P82" s="4" t="s">
        <v>152</v>
      </c>
      <c r="Q82" s="4" t="s">
        <v>170</v>
      </c>
      <c r="R82" s="4" t="s">
        <v>236</v>
      </c>
      <c r="S82" s="17" t="s">
        <v>361</v>
      </c>
      <c r="T82" s="73" t="s">
        <v>231</v>
      </c>
      <c r="U82" s="17" t="s">
        <v>243</v>
      </c>
      <c r="V82" s="4" t="s">
        <v>737</v>
      </c>
      <c r="W82" s="4" t="s">
        <v>245</v>
      </c>
      <c r="X82" s="4" t="s">
        <v>738</v>
      </c>
      <c r="Y82" s="4" t="s">
        <v>711</v>
      </c>
      <c r="Z82" s="4" t="s">
        <v>668</v>
      </c>
      <c r="AA82" s="61"/>
    </row>
    <row r="83" spans="1:30" x14ac:dyDescent="0.25">
      <c r="C83" s="60">
        <v>2013</v>
      </c>
      <c r="D83" s="60">
        <v>2014</v>
      </c>
      <c r="E83" t="s">
        <v>173</v>
      </c>
      <c r="F83" s="68" t="s">
        <v>154</v>
      </c>
      <c r="G83" s="66" t="s">
        <v>733</v>
      </c>
      <c r="H83" s="66" t="s">
        <v>733</v>
      </c>
      <c r="I83" s="66" t="s">
        <v>155</v>
      </c>
      <c r="J83" s="66" t="s">
        <v>734</v>
      </c>
      <c r="K83" s="66" t="s">
        <v>734</v>
      </c>
      <c r="L83" s="66" t="s">
        <v>712</v>
      </c>
      <c r="M83" s="66" t="s">
        <v>188</v>
      </c>
      <c r="N83" s="66" t="s">
        <v>189</v>
      </c>
      <c r="O83" s="70">
        <v>1</v>
      </c>
      <c r="P83" s="48">
        <v>-1</v>
      </c>
      <c r="Q83" s="48">
        <v>0</v>
      </c>
      <c r="R83" s="48">
        <v>0</v>
      </c>
      <c r="S83" s="92">
        <v>0</v>
      </c>
      <c r="T83" s="97" t="s">
        <v>174</v>
      </c>
      <c r="U83" s="70">
        <f>IF(AND(ISNUMBER(F83), F83&gt;0), 1, 0)</f>
        <v>0</v>
      </c>
      <c r="V83" s="48">
        <f>IF(AND(ISNUMBER(G83), G83&gt;0), 1, 0)</f>
        <v>0</v>
      </c>
      <c r="W83" s="48">
        <f>IF(AND(ISNUMBER(I83), I83&gt;0), 1, 0)</f>
        <v>0</v>
      </c>
      <c r="X83" s="48">
        <f>IF(AND(ISNUMBER(J83), J83&gt;0), 1, 0)</f>
        <v>0</v>
      </c>
      <c r="Y83" s="48">
        <f t="shared" ref="Y83:Y100" si="13">IF(AND(ISNUMBER(L83), L83&gt;0), 1, 0)</f>
        <v>0</v>
      </c>
      <c r="Z83" s="61">
        <v>-1</v>
      </c>
      <c r="AA83" s="61" t="s">
        <v>0</v>
      </c>
      <c r="AB83" t="s">
        <v>115</v>
      </c>
    </row>
    <row r="84" spans="1:30" x14ac:dyDescent="0.25">
      <c r="C84" s="61">
        <f>C83</f>
        <v>2013</v>
      </c>
      <c r="D84" s="6">
        <f>D83</f>
        <v>2014</v>
      </c>
      <c r="E84" t="s">
        <v>174</v>
      </c>
      <c r="F84" s="51">
        <v>13</v>
      </c>
      <c r="G84" s="66" t="s">
        <v>733</v>
      </c>
      <c r="H84" s="66" t="s">
        <v>733</v>
      </c>
      <c r="I84" s="11">
        <v>11.3</v>
      </c>
      <c r="J84" s="66" t="s">
        <v>734</v>
      </c>
      <c r="K84" s="66" t="s">
        <v>734</v>
      </c>
      <c r="L84" s="66" t="s">
        <v>712</v>
      </c>
      <c r="M84" s="66" t="s">
        <v>188</v>
      </c>
      <c r="N84" s="66" t="s">
        <v>189</v>
      </c>
      <c r="O84" s="70">
        <v>1</v>
      </c>
      <c r="P84" s="48">
        <v>1</v>
      </c>
      <c r="Q84" s="48">
        <v>0</v>
      </c>
      <c r="R84" s="48">
        <v>1</v>
      </c>
      <c r="S84" s="92">
        <v>0</v>
      </c>
      <c r="T84" s="97" t="s">
        <v>174</v>
      </c>
      <c r="U84" s="70">
        <f t="shared" ref="U84:U100" si="14">IF(AND(ISNUMBER(F84), F84&gt;0), 1, 0)</f>
        <v>1</v>
      </c>
      <c r="V84" s="48">
        <f t="shared" ref="V84:V111" si="15">IF(AND(ISNUMBER(G84), G84&gt;0), 1, 0)</f>
        <v>0</v>
      </c>
      <c r="W84" s="48">
        <f t="shared" ref="W84:W86" si="16">IF(AND(ISNUMBER(I84), I84&gt;0), 1, 0)</f>
        <v>1</v>
      </c>
      <c r="X84" s="48">
        <f t="shared" ref="X84:X111" si="17">IF(AND(ISNUMBER(J84), J84&gt;0), 1, 0)</f>
        <v>0</v>
      </c>
      <c r="Y84" s="48">
        <f t="shared" si="13"/>
        <v>0</v>
      </c>
      <c r="Z84" s="61">
        <v>-1</v>
      </c>
      <c r="AA84" s="61" t="s">
        <v>0</v>
      </c>
      <c r="AB84" t="s">
        <v>116</v>
      </c>
    </row>
    <row r="85" spans="1:30" x14ac:dyDescent="0.25">
      <c r="C85" s="61">
        <f t="shared" ref="C85:C111" si="18">C84</f>
        <v>2013</v>
      </c>
      <c r="D85" s="6">
        <f t="shared" ref="D85:D111" si="19">D84</f>
        <v>2014</v>
      </c>
      <c r="E85" t="s">
        <v>175</v>
      </c>
      <c r="F85" s="51">
        <v>13</v>
      </c>
      <c r="G85" s="66" t="s">
        <v>733</v>
      </c>
      <c r="H85" s="66" t="s">
        <v>733</v>
      </c>
      <c r="I85" s="11">
        <v>11.3</v>
      </c>
      <c r="J85" s="66" t="s">
        <v>734</v>
      </c>
      <c r="K85" s="66" t="s">
        <v>734</v>
      </c>
      <c r="L85" s="66" t="s">
        <v>712</v>
      </c>
      <c r="M85" s="66" t="s">
        <v>188</v>
      </c>
      <c r="N85" s="66" t="s">
        <v>189</v>
      </c>
      <c r="O85" s="70">
        <v>1</v>
      </c>
      <c r="P85" s="48">
        <v>1</v>
      </c>
      <c r="Q85" s="48">
        <v>0</v>
      </c>
      <c r="R85" s="48">
        <v>1</v>
      </c>
      <c r="S85" s="92">
        <v>0</v>
      </c>
      <c r="T85" s="97" t="s">
        <v>174</v>
      </c>
      <c r="U85" s="70">
        <f t="shared" si="14"/>
        <v>1</v>
      </c>
      <c r="V85" s="48">
        <f t="shared" si="15"/>
        <v>0</v>
      </c>
      <c r="W85" s="48">
        <f t="shared" si="16"/>
        <v>1</v>
      </c>
      <c r="X85" s="48">
        <f t="shared" si="17"/>
        <v>0</v>
      </c>
      <c r="Y85" s="48">
        <f t="shared" si="13"/>
        <v>0</v>
      </c>
      <c r="Z85" s="61">
        <v>-1</v>
      </c>
      <c r="AA85" s="61" t="s">
        <v>0</v>
      </c>
      <c r="AB85" t="s">
        <v>117</v>
      </c>
    </row>
    <row r="86" spans="1:30" x14ac:dyDescent="0.25">
      <c r="C86" s="61">
        <f t="shared" si="18"/>
        <v>2013</v>
      </c>
      <c r="D86" s="6">
        <f t="shared" si="19"/>
        <v>2014</v>
      </c>
      <c r="E86" t="s">
        <v>176</v>
      </c>
      <c r="F86" s="51">
        <v>13</v>
      </c>
      <c r="G86" s="66" t="s">
        <v>733</v>
      </c>
      <c r="H86" s="66" t="s">
        <v>733</v>
      </c>
      <c r="I86" s="11">
        <v>11.3</v>
      </c>
      <c r="J86" s="66" t="s">
        <v>734</v>
      </c>
      <c r="K86" s="66" t="s">
        <v>734</v>
      </c>
      <c r="L86" s="66" t="s">
        <v>712</v>
      </c>
      <c r="M86" s="66" t="s">
        <v>188</v>
      </c>
      <c r="N86" s="66" t="s">
        <v>189</v>
      </c>
      <c r="O86" s="70">
        <v>0</v>
      </c>
      <c r="P86" s="48">
        <v>1</v>
      </c>
      <c r="Q86" s="48">
        <v>0</v>
      </c>
      <c r="R86" s="48">
        <v>1</v>
      </c>
      <c r="S86" s="92">
        <v>0</v>
      </c>
      <c r="T86" s="97" t="s">
        <v>174</v>
      </c>
      <c r="U86" s="70">
        <f t="shared" si="14"/>
        <v>1</v>
      </c>
      <c r="V86" s="48">
        <f t="shared" si="15"/>
        <v>0</v>
      </c>
      <c r="W86" s="48">
        <f t="shared" si="16"/>
        <v>1</v>
      </c>
      <c r="X86" s="48">
        <f t="shared" si="17"/>
        <v>0</v>
      </c>
      <c r="Y86" s="48">
        <f t="shared" si="13"/>
        <v>0</v>
      </c>
      <c r="Z86" s="61">
        <v>-1</v>
      </c>
      <c r="AA86" s="61" t="s">
        <v>0</v>
      </c>
      <c r="AB86" t="s">
        <v>118</v>
      </c>
    </row>
    <row r="87" spans="1:30" x14ac:dyDescent="0.25">
      <c r="C87" s="61">
        <f t="shared" si="18"/>
        <v>2013</v>
      </c>
      <c r="D87" s="6">
        <f t="shared" si="19"/>
        <v>2014</v>
      </c>
      <c r="E87" t="s">
        <v>515</v>
      </c>
      <c r="F87" s="51">
        <v>12</v>
      </c>
      <c r="G87" s="66" t="s">
        <v>733</v>
      </c>
      <c r="H87" s="66" t="s">
        <v>733</v>
      </c>
      <c r="I87" s="149">
        <v>10</v>
      </c>
      <c r="J87" s="66" t="s">
        <v>734</v>
      </c>
      <c r="K87" s="66" t="s">
        <v>734</v>
      </c>
      <c r="L87" s="66" t="s">
        <v>712</v>
      </c>
      <c r="M87" s="66" t="s">
        <v>188</v>
      </c>
      <c r="N87" s="66" t="s">
        <v>189</v>
      </c>
      <c r="O87" s="70">
        <v>1</v>
      </c>
      <c r="P87" s="48">
        <v>1</v>
      </c>
      <c r="Q87" s="48">
        <v>0</v>
      </c>
      <c r="R87" s="48">
        <v>1</v>
      </c>
      <c r="S87" s="92">
        <v>0</v>
      </c>
      <c r="T87" s="97" t="s">
        <v>174</v>
      </c>
      <c r="U87" s="70">
        <f t="shared" ref="U87" si="20">IF(AND(ISNUMBER(F87), F87&gt;0), 1, 0)</f>
        <v>1</v>
      </c>
      <c r="V87" s="48">
        <f t="shared" si="15"/>
        <v>0</v>
      </c>
      <c r="W87" s="48">
        <f t="shared" ref="W87" si="21">IF(AND(ISNUMBER(I87), I87&gt;0), 1, 0)</f>
        <v>1</v>
      </c>
      <c r="X87" s="48">
        <f t="shared" si="17"/>
        <v>0</v>
      </c>
      <c r="Y87" s="48">
        <f t="shared" si="13"/>
        <v>0</v>
      </c>
      <c r="Z87" s="61">
        <v>-1</v>
      </c>
      <c r="AA87" s="61" t="s">
        <v>0</v>
      </c>
      <c r="AB87" t="s">
        <v>516</v>
      </c>
      <c r="AD87" s="119" t="s">
        <v>518</v>
      </c>
    </row>
    <row r="88" spans="1:30" x14ac:dyDescent="0.25">
      <c r="C88" s="61">
        <f t="shared" si="18"/>
        <v>2013</v>
      </c>
      <c r="D88" s="6">
        <f t="shared" si="19"/>
        <v>2014</v>
      </c>
      <c r="E88" t="s">
        <v>526</v>
      </c>
      <c r="F88" s="51">
        <v>13</v>
      </c>
      <c r="G88" s="66" t="s">
        <v>733</v>
      </c>
      <c r="H88" s="66" t="s">
        <v>733</v>
      </c>
      <c r="I88" s="11">
        <v>11.3</v>
      </c>
      <c r="J88" s="66" t="s">
        <v>734</v>
      </c>
      <c r="K88" s="66" t="s">
        <v>734</v>
      </c>
      <c r="L88" s="66" t="s">
        <v>712</v>
      </c>
      <c r="M88" s="66" t="s">
        <v>188</v>
      </c>
      <c r="N88" s="66" t="s">
        <v>189</v>
      </c>
      <c r="O88" s="70">
        <v>1</v>
      </c>
      <c r="P88" s="48">
        <v>0</v>
      </c>
      <c r="Q88" s="48">
        <v>0</v>
      </c>
      <c r="R88" s="48">
        <v>1</v>
      </c>
      <c r="S88" s="120">
        <v>1</v>
      </c>
      <c r="T88" s="100" t="s">
        <v>174</v>
      </c>
      <c r="U88" s="70">
        <f t="shared" si="14"/>
        <v>1</v>
      </c>
      <c r="V88" s="48">
        <f t="shared" si="15"/>
        <v>0</v>
      </c>
      <c r="W88" s="48">
        <f>IF(AND(ISNUMBER(I88), I88&gt;0), 1, 0)</f>
        <v>1</v>
      </c>
      <c r="X88" s="48">
        <f t="shared" si="17"/>
        <v>0</v>
      </c>
      <c r="Y88" s="48">
        <f t="shared" si="13"/>
        <v>0</v>
      </c>
      <c r="Z88" s="61">
        <v>-1</v>
      </c>
      <c r="AA88" s="61" t="s">
        <v>0</v>
      </c>
      <c r="AB88" t="s">
        <v>528</v>
      </c>
      <c r="AD88" t="s">
        <v>525</v>
      </c>
    </row>
    <row r="89" spans="1:30" x14ac:dyDescent="0.25">
      <c r="C89" s="61">
        <f t="shared" si="18"/>
        <v>2013</v>
      </c>
      <c r="D89" s="6">
        <f t="shared" si="19"/>
        <v>2014</v>
      </c>
      <c r="E89" t="s">
        <v>527</v>
      </c>
      <c r="F89" s="51">
        <v>13</v>
      </c>
      <c r="G89" s="66" t="s">
        <v>733</v>
      </c>
      <c r="H89" s="66" t="s">
        <v>733</v>
      </c>
      <c r="I89" s="11">
        <v>11.3</v>
      </c>
      <c r="J89" s="66" t="s">
        <v>734</v>
      </c>
      <c r="K89" s="66" t="s">
        <v>734</v>
      </c>
      <c r="L89" s="66" t="s">
        <v>712</v>
      </c>
      <c r="M89" s="66" t="s">
        <v>188</v>
      </c>
      <c r="N89" s="66" t="s">
        <v>189</v>
      </c>
      <c r="O89" s="70">
        <v>1</v>
      </c>
      <c r="P89" s="48">
        <v>0</v>
      </c>
      <c r="Q89" s="48">
        <v>0</v>
      </c>
      <c r="R89" s="48">
        <v>1</v>
      </c>
      <c r="S89" s="120">
        <v>1</v>
      </c>
      <c r="T89" s="100" t="s">
        <v>174</v>
      </c>
      <c r="U89" s="70">
        <f t="shared" ref="U89:U90" si="22">IF(AND(ISNUMBER(F89), F89&gt;0), 1, 0)</f>
        <v>1</v>
      </c>
      <c r="V89" s="48">
        <f t="shared" si="15"/>
        <v>0</v>
      </c>
      <c r="W89" s="48">
        <f t="shared" ref="W89:W90" si="23">IF(AND(ISNUMBER(I89), I89&gt;0), 1, 0)</f>
        <v>1</v>
      </c>
      <c r="X89" s="48">
        <f t="shared" si="17"/>
        <v>0</v>
      </c>
      <c r="Y89" s="48">
        <f t="shared" si="13"/>
        <v>0</v>
      </c>
      <c r="Z89" s="61">
        <v>-1</v>
      </c>
      <c r="AA89" s="61" t="s">
        <v>0</v>
      </c>
      <c r="AB89" t="s">
        <v>533</v>
      </c>
      <c r="AD89" t="s">
        <v>534</v>
      </c>
    </row>
    <row r="90" spans="1:30" x14ac:dyDescent="0.25">
      <c r="C90" s="61">
        <f t="shared" si="18"/>
        <v>2013</v>
      </c>
      <c r="D90" s="6">
        <f t="shared" si="19"/>
        <v>2014</v>
      </c>
      <c r="E90" t="s">
        <v>523</v>
      </c>
      <c r="F90" s="51">
        <v>13</v>
      </c>
      <c r="G90" s="66" t="s">
        <v>733</v>
      </c>
      <c r="H90" s="66" t="s">
        <v>733</v>
      </c>
      <c r="I90" s="11">
        <v>11.3</v>
      </c>
      <c r="J90" s="66" t="s">
        <v>734</v>
      </c>
      <c r="K90" s="66" t="s">
        <v>734</v>
      </c>
      <c r="L90" s="66" t="s">
        <v>712</v>
      </c>
      <c r="M90" s="66" t="s">
        <v>188</v>
      </c>
      <c r="N90" s="66" t="s">
        <v>189</v>
      </c>
      <c r="O90" s="70">
        <v>1</v>
      </c>
      <c r="P90" s="48">
        <v>0</v>
      </c>
      <c r="Q90" s="48">
        <v>0</v>
      </c>
      <c r="R90" s="48">
        <v>1</v>
      </c>
      <c r="S90" s="120">
        <v>1</v>
      </c>
      <c r="T90" s="100" t="s">
        <v>174</v>
      </c>
      <c r="U90" s="70">
        <f t="shared" si="22"/>
        <v>1</v>
      </c>
      <c r="V90" s="48">
        <f t="shared" si="15"/>
        <v>0</v>
      </c>
      <c r="W90" s="48">
        <f t="shared" si="23"/>
        <v>1</v>
      </c>
      <c r="X90" s="48">
        <f t="shared" si="17"/>
        <v>0</v>
      </c>
      <c r="Y90" s="48">
        <f t="shared" si="13"/>
        <v>0</v>
      </c>
      <c r="Z90" s="61">
        <v>-1</v>
      </c>
      <c r="AA90" s="61" t="s">
        <v>0</v>
      </c>
      <c r="AB90" t="s">
        <v>536</v>
      </c>
      <c r="AD90" t="s">
        <v>534</v>
      </c>
    </row>
    <row r="91" spans="1:30" x14ac:dyDescent="0.25">
      <c r="C91" s="61">
        <f>C90</f>
        <v>2013</v>
      </c>
      <c r="D91" s="6">
        <f>D90</f>
        <v>2014</v>
      </c>
      <c r="E91" t="s">
        <v>177</v>
      </c>
      <c r="F91" s="67" t="s">
        <v>154</v>
      </c>
      <c r="G91" s="66" t="s">
        <v>733</v>
      </c>
      <c r="H91" s="66" t="s">
        <v>733</v>
      </c>
      <c r="I91" s="11">
        <v>8.5</v>
      </c>
      <c r="J91" s="66" t="s">
        <v>734</v>
      </c>
      <c r="K91" s="66" t="s">
        <v>734</v>
      </c>
      <c r="L91" s="66" t="s">
        <v>712</v>
      </c>
      <c r="M91" s="66" t="s">
        <v>188</v>
      </c>
      <c r="N91" s="66" t="s">
        <v>189</v>
      </c>
      <c r="O91" s="71">
        <v>1</v>
      </c>
      <c r="P91" s="49">
        <v>0</v>
      </c>
      <c r="Q91" s="49">
        <v>0</v>
      </c>
      <c r="R91" s="49">
        <v>0</v>
      </c>
      <c r="S91" s="120">
        <v>1</v>
      </c>
      <c r="T91" s="99" t="s">
        <v>174</v>
      </c>
      <c r="U91" s="70">
        <f t="shared" si="14"/>
        <v>0</v>
      </c>
      <c r="V91" s="48">
        <f t="shared" si="15"/>
        <v>0</v>
      </c>
      <c r="W91" s="48">
        <f t="shared" ref="W91:W95" si="24">IF(AND(ISNUMBER(I91), I91&gt;0), 1, 0)</f>
        <v>1</v>
      </c>
      <c r="X91" s="48">
        <f t="shared" si="17"/>
        <v>0</v>
      </c>
      <c r="Y91" s="48">
        <f t="shared" si="13"/>
        <v>0</v>
      </c>
      <c r="Z91" s="61">
        <v>-1</v>
      </c>
      <c r="AA91" s="61" t="s">
        <v>0</v>
      </c>
      <c r="AB91" t="s">
        <v>119</v>
      </c>
    </row>
    <row r="92" spans="1:30" x14ac:dyDescent="0.25">
      <c r="C92" s="61">
        <f t="shared" si="18"/>
        <v>2013</v>
      </c>
      <c r="D92" s="6">
        <f t="shared" si="19"/>
        <v>2014</v>
      </c>
      <c r="E92" t="s">
        <v>178</v>
      </c>
      <c r="F92" s="51">
        <v>13</v>
      </c>
      <c r="G92" s="66" t="s">
        <v>733</v>
      </c>
      <c r="H92" s="66" t="s">
        <v>733</v>
      </c>
      <c r="I92" s="11">
        <v>11.3</v>
      </c>
      <c r="J92" s="66" t="s">
        <v>734</v>
      </c>
      <c r="K92" s="66" t="s">
        <v>734</v>
      </c>
      <c r="L92" s="66" t="s">
        <v>712</v>
      </c>
      <c r="M92" s="66" t="s">
        <v>188</v>
      </c>
      <c r="N92" s="66" t="s">
        <v>189</v>
      </c>
      <c r="O92" s="70">
        <v>1</v>
      </c>
      <c r="P92" s="48">
        <v>1</v>
      </c>
      <c r="Q92" s="48">
        <v>1</v>
      </c>
      <c r="R92" s="48">
        <v>1</v>
      </c>
      <c r="S92" s="92">
        <v>0</v>
      </c>
      <c r="T92" s="97" t="s">
        <v>178</v>
      </c>
      <c r="U92" s="70">
        <f t="shared" si="14"/>
        <v>1</v>
      </c>
      <c r="V92" s="48">
        <f t="shared" si="15"/>
        <v>0</v>
      </c>
      <c r="W92" s="48">
        <f t="shared" si="24"/>
        <v>1</v>
      </c>
      <c r="X92" s="48">
        <f t="shared" si="17"/>
        <v>0</v>
      </c>
      <c r="Y92" s="48">
        <f t="shared" si="13"/>
        <v>0</v>
      </c>
      <c r="Z92" s="61">
        <v>-1</v>
      </c>
      <c r="AA92" s="61" t="s">
        <v>0</v>
      </c>
      <c r="AB92" t="s">
        <v>120</v>
      </c>
    </row>
    <row r="93" spans="1:30" x14ac:dyDescent="0.25">
      <c r="C93" s="61">
        <f t="shared" si="18"/>
        <v>2013</v>
      </c>
      <c r="D93" s="6">
        <f t="shared" si="19"/>
        <v>2014</v>
      </c>
      <c r="E93" t="s">
        <v>179</v>
      </c>
      <c r="F93" s="51">
        <v>13</v>
      </c>
      <c r="G93" s="66" t="s">
        <v>733</v>
      </c>
      <c r="H93" s="66" t="s">
        <v>733</v>
      </c>
      <c r="I93" s="66" t="s">
        <v>155</v>
      </c>
      <c r="J93" s="66" t="s">
        <v>734</v>
      </c>
      <c r="K93" s="66" t="s">
        <v>734</v>
      </c>
      <c r="L93" s="66" t="s">
        <v>712</v>
      </c>
      <c r="M93" s="66" t="s">
        <v>188</v>
      </c>
      <c r="N93" s="66" t="s">
        <v>189</v>
      </c>
      <c r="O93" s="71">
        <v>1</v>
      </c>
      <c r="P93" s="48">
        <v>1</v>
      </c>
      <c r="Q93" s="48">
        <v>1</v>
      </c>
      <c r="R93" s="48">
        <v>1</v>
      </c>
      <c r="S93" s="92">
        <v>0</v>
      </c>
      <c r="T93" s="97" t="s">
        <v>178</v>
      </c>
      <c r="U93" s="70">
        <f t="shared" si="14"/>
        <v>1</v>
      </c>
      <c r="V93" s="48">
        <f t="shared" si="15"/>
        <v>0</v>
      </c>
      <c r="W93" s="48">
        <f t="shared" si="24"/>
        <v>0</v>
      </c>
      <c r="X93" s="48">
        <f t="shared" si="17"/>
        <v>0</v>
      </c>
      <c r="Y93" s="48">
        <f t="shared" si="13"/>
        <v>0</v>
      </c>
      <c r="Z93" s="61">
        <v>-1</v>
      </c>
      <c r="AA93" s="61" t="s">
        <v>0</v>
      </c>
      <c r="AB93" t="s">
        <v>121</v>
      </c>
    </row>
    <row r="94" spans="1:30" x14ac:dyDescent="0.25">
      <c r="C94" s="61">
        <f t="shared" si="18"/>
        <v>2013</v>
      </c>
      <c r="D94" s="6">
        <f t="shared" si="19"/>
        <v>2014</v>
      </c>
      <c r="E94" t="s">
        <v>180</v>
      </c>
      <c r="F94" s="67" t="s">
        <v>154</v>
      </c>
      <c r="G94" s="66" t="s">
        <v>733</v>
      </c>
      <c r="H94" s="66" t="s">
        <v>733</v>
      </c>
      <c r="I94" s="11">
        <v>0</v>
      </c>
      <c r="J94" s="66" t="s">
        <v>734</v>
      </c>
      <c r="K94" s="66" t="s">
        <v>734</v>
      </c>
      <c r="L94" s="66" t="s">
        <v>712</v>
      </c>
      <c r="M94" s="66" t="s">
        <v>188</v>
      </c>
      <c r="N94" s="66" t="s">
        <v>189</v>
      </c>
      <c r="O94" s="71">
        <v>0</v>
      </c>
      <c r="P94" s="48">
        <v>1</v>
      </c>
      <c r="Q94" s="48">
        <v>1</v>
      </c>
      <c r="R94" s="48">
        <v>1</v>
      </c>
      <c r="S94" s="92">
        <v>0</v>
      </c>
      <c r="T94" s="97" t="s">
        <v>178</v>
      </c>
      <c r="U94" s="70">
        <f t="shared" si="14"/>
        <v>0</v>
      </c>
      <c r="V94" s="48">
        <f t="shared" si="15"/>
        <v>0</v>
      </c>
      <c r="W94" s="48">
        <f t="shared" si="24"/>
        <v>0</v>
      </c>
      <c r="X94" s="48">
        <f t="shared" si="17"/>
        <v>0</v>
      </c>
      <c r="Y94" s="48">
        <f t="shared" si="13"/>
        <v>0</v>
      </c>
      <c r="Z94" s="61">
        <v>-1</v>
      </c>
      <c r="AA94" s="61" t="s">
        <v>0</v>
      </c>
      <c r="AB94" t="s">
        <v>122</v>
      </c>
    </row>
    <row r="95" spans="1:30" x14ac:dyDescent="0.25">
      <c r="A95" t="s">
        <v>0</v>
      </c>
      <c r="C95" s="61">
        <f t="shared" si="18"/>
        <v>2013</v>
      </c>
      <c r="D95" s="6">
        <f t="shared" si="19"/>
        <v>2014</v>
      </c>
      <c r="E95" s="24" t="s">
        <v>181</v>
      </c>
      <c r="F95" s="67" t="s">
        <v>154</v>
      </c>
      <c r="G95" s="66" t="s">
        <v>733</v>
      </c>
      <c r="H95" s="66" t="s">
        <v>733</v>
      </c>
      <c r="I95" s="66" t="s">
        <v>155</v>
      </c>
      <c r="J95" s="66" t="s">
        <v>734</v>
      </c>
      <c r="K95" s="66" t="s">
        <v>734</v>
      </c>
      <c r="L95" s="66" t="s">
        <v>712</v>
      </c>
      <c r="M95" s="11">
        <v>0</v>
      </c>
      <c r="N95" s="11">
        <v>0</v>
      </c>
      <c r="O95" s="71">
        <v>0</v>
      </c>
      <c r="P95" s="53">
        <v>1</v>
      </c>
      <c r="Q95" s="48">
        <v>0</v>
      </c>
      <c r="R95" s="48">
        <v>1</v>
      </c>
      <c r="S95" s="92">
        <v>0</v>
      </c>
      <c r="T95" s="98" t="s">
        <v>227</v>
      </c>
      <c r="U95" s="70">
        <f t="shared" si="14"/>
        <v>0</v>
      </c>
      <c r="V95" s="48">
        <f t="shared" si="15"/>
        <v>0</v>
      </c>
      <c r="W95" s="48">
        <f t="shared" si="24"/>
        <v>0</v>
      </c>
      <c r="X95" s="48">
        <f t="shared" si="17"/>
        <v>0</v>
      </c>
      <c r="Y95" s="48">
        <f t="shared" si="13"/>
        <v>0</v>
      </c>
      <c r="Z95" s="61">
        <v>-1</v>
      </c>
      <c r="AA95" s="61" t="s">
        <v>0</v>
      </c>
      <c r="AB95" t="s">
        <v>123</v>
      </c>
      <c r="AD95" s="119" t="s">
        <v>363</v>
      </c>
    </row>
    <row r="96" spans="1:30" x14ac:dyDescent="0.25">
      <c r="C96" s="61">
        <f t="shared" si="18"/>
        <v>2013</v>
      </c>
      <c r="D96" s="6">
        <f t="shared" si="19"/>
        <v>2014</v>
      </c>
      <c r="E96" t="s">
        <v>511</v>
      </c>
      <c r="F96" s="51">
        <v>12</v>
      </c>
      <c r="G96" s="66" t="s">
        <v>733</v>
      </c>
      <c r="H96" s="66" t="s">
        <v>733</v>
      </c>
      <c r="I96" s="149">
        <v>10</v>
      </c>
      <c r="J96" s="66" t="s">
        <v>734</v>
      </c>
      <c r="K96" s="66" t="s">
        <v>734</v>
      </c>
      <c r="L96" s="66" t="s">
        <v>712</v>
      </c>
      <c r="M96" s="66" t="s">
        <v>188</v>
      </c>
      <c r="N96" s="66" t="s">
        <v>189</v>
      </c>
      <c r="O96" s="70">
        <v>1</v>
      </c>
      <c r="P96" s="48">
        <v>1</v>
      </c>
      <c r="Q96" s="48">
        <v>1</v>
      </c>
      <c r="R96" s="48">
        <v>1</v>
      </c>
      <c r="S96" s="92">
        <v>0</v>
      </c>
      <c r="T96" s="97" t="s">
        <v>178</v>
      </c>
      <c r="U96" s="70">
        <f t="shared" ref="U96" si="25">IF(AND(ISNUMBER(F96), F96&gt;0), 1, 0)</f>
        <v>1</v>
      </c>
      <c r="V96" s="48">
        <f t="shared" si="15"/>
        <v>0</v>
      </c>
      <c r="W96" s="48">
        <f t="shared" ref="W96" si="26">IF(AND(ISNUMBER(I96), I96&gt;0), 1, 0)</f>
        <v>1</v>
      </c>
      <c r="X96" s="48">
        <f t="shared" si="17"/>
        <v>0</v>
      </c>
      <c r="Y96" s="48">
        <f t="shared" si="13"/>
        <v>0</v>
      </c>
      <c r="Z96" s="61">
        <v>-1</v>
      </c>
      <c r="AA96" s="61" t="s">
        <v>0</v>
      </c>
      <c r="AB96" t="s">
        <v>517</v>
      </c>
      <c r="AD96" s="119" t="s">
        <v>518</v>
      </c>
    </row>
    <row r="97" spans="1:33" x14ac:dyDescent="0.25">
      <c r="C97" s="61">
        <f t="shared" si="18"/>
        <v>2013</v>
      </c>
      <c r="D97" s="6">
        <f t="shared" si="19"/>
        <v>2014</v>
      </c>
      <c r="E97" t="s">
        <v>530</v>
      </c>
      <c r="F97" s="63">
        <v>13</v>
      </c>
      <c r="G97" s="66" t="s">
        <v>733</v>
      </c>
      <c r="H97" s="66" t="s">
        <v>733</v>
      </c>
      <c r="I97" s="11">
        <v>11.3</v>
      </c>
      <c r="J97" s="66" t="s">
        <v>734</v>
      </c>
      <c r="K97" s="66" t="s">
        <v>734</v>
      </c>
      <c r="L97" s="66" t="s">
        <v>712</v>
      </c>
      <c r="M97" s="66" t="s">
        <v>188</v>
      </c>
      <c r="N97" s="66" t="s">
        <v>189</v>
      </c>
      <c r="O97" s="71">
        <v>1</v>
      </c>
      <c r="P97" s="48">
        <v>0</v>
      </c>
      <c r="Q97" s="48">
        <v>1</v>
      </c>
      <c r="R97" s="48">
        <v>1</v>
      </c>
      <c r="S97" s="120">
        <v>1</v>
      </c>
      <c r="T97" s="100" t="s">
        <v>178</v>
      </c>
      <c r="U97" s="70">
        <f t="shared" si="14"/>
        <v>1</v>
      </c>
      <c r="V97" s="48">
        <f t="shared" si="15"/>
        <v>0</v>
      </c>
      <c r="W97" s="48">
        <f>IF(AND(ISNUMBER(I97), I97&gt;0), 1, 0)</f>
        <v>1</v>
      </c>
      <c r="X97" s="48">
        <f t="shared" si="17"/>
        <v>0</v>
      </c>
      <c r="Y97" s="48">
        <f t="shared" si="13"/>
        <v>0</v>
      </c>
      <c r="Z97" s="61">
        <v>-1</v>
      </c>
      <c r="AA97" s="61" t="s">
        <v>0</v>
      </c>
      <c r="AB97" t="s">
        <v>529</v>
      </c>
      <c r="AD97" t="s">
        <v>525</v>
      </c>
    </row>
    <row r="98" spans="1:33" x14ac:dyDescent="0.25">
      <c r="C98" s="61">
        <f t="shared" ref="C98:C106" si="27">C97</f>
        <v>2013</v>
      </c>
      <c r="D98" s="6">
        <f t="shared" ref="D98:D106" si="28">D97</f>
        <v>2014</v>
      </c>
      <c r="E98" t="s">
        <v>531</v>
      </c>
      <c r="F98" s="63">
        <v>13</v>
      </c>
      <c r="G98" s="66" t="s">
        <v>733</v>
      </c>
      <c r="H98" s="66" t="s">
        <v>733</v>
      </c>
      <c r="I98" s="11">
        <v>11.3</v>
      </c>
      <c r="J98" s="66" t="s">
        <v>734</v>
      </c>
      <c r="K98" s="66" t="s">
        <v>734</v>
      </c>
      <c r="L98" s="66" t="s">
        <v>712</v>
      </c>
      <c r="M98" s="66" t="s">
        <v>188</v>
      </c>
      <c r="N98" s="66" t="s">
        <v>189</v>
      </c>
      <c r="O98" s="71">
        <v>1</v>
      </c>
      <c r="P98" s="48">
        <v>0</v>
      </c>
      <c r="Q98" s="48">
        <v>1</v>
      </c>
      <c r="R98" s="48">
        <v>1</v>
      </c>
      <c r="S98" s="120">
        <v>1</v>
      </c>
      <c r="T98" s="100" t="s">
        <v>178</v>
      </c>
      <c r="U98" s="70">
        <f t="shared" ref="U98:U99" si="29">IF(AND(ISNUMBER(F98), F98&gt;0), 1, 0)</f>
        <v>1</v>
      </c>
      <c r="V98" s="48">
        <f t="shared" si="15"/>
        <v>0</v>
      </c>
      <c r="W98" s="48">
        <f t="shared" ref="W98:W99" si="30">IF(AND(ISNUMBER(I98), I98&gt;0), 1, 0)</f>
        <v>1</v>
      </c>
      <c r="X98" s="48">
        <f t="shared" si="17"/>
        <v>0</v>
      </c>
      <c r="Y98" s="48">
        <f t="shared" si="13"/>
        <v>0</v>
      </c>
      <c r="Z98" s="61">
        <v>-1</v>
      </c>
      <c r="AA98" s="61" t="s">
        <v>0</v>
      </c>
      <c r="AB98" t="s">
        <v>532</v>
      </c>
      <c r="AD98" t="s">
        <v>534</v>
      </c>
    </row>
    <row r="99" spans="1:33" x14ac:dyDescent="0.25">
      <c r="C99" s="61">
        <f t="shared" si="27"/>
        <v>2013</v>
      </c>
      <c r="D99" s="6">
        <f t="shared" si="28"/>
        <v>2014</v>
      </c>
      <c r="E99" t="s">
        <v>520</v>
      </c>
      <c r="F99" s="63">
        <v>13</v>
      </c>
      <c r="G99" s="66" t="s">
        <v>733</v>
      </c>
      <c r="H99" s="66" t="s">
        <v>733</v>
      </c>
      <c r="I99" s="11">
        <v>11.3</v>
      </c>
      <c r="J99" s="66" t="s">
        <v>734</v>
      </c>
      <c r="K99" s="66" t="s">
        <v>734</v>
      </c>
      <c r="L99" s="66" t="s">
        <v>712</v>
      </c>
      <c r="M99" s="66" t="s">
        <v>188</v>
      </c>
      <c r="N99" s="66" t="s">
        <v>189</v>
      </c>
      <c r="O99" s="71">
        <v>1</v>
      </c>
      <c r="P99" s="48">
        <v>-1</v>
      </c>
      <c r="Q99" s="48">
        <v>1</v>
      </c>
      <c r="R99" s="48">
        <v>1</v>
      </c>
      <c r="S99" s="120">
        <v>1</v>
      </c>
      <c r="T99" s="100" t="s">
        <v>178</v>
      </c>
      <c r="U99" s="70">
        <f t="shared" si="29"/>
        <v>1</v>
      </c>
      <c r="V99" s="48">
        <f t="shared" si="15"/>
        <v>0</v>
      </c>
      <c r="W99" s="48">
        <f t="shared" si="30"/>
        <v>1</v>
      </c>
      <c r="X99" s="48">
        <f t="shared" si="17"/>
        <v>0</v>
      </c>
      <c r="Y99" s="48">
        <f t="shared" si="13"/>
        <v>0</v>
      </c>
      <c r="Z99" s="61">
        <v>-1</v>
      </c>
      <c r="AA99" s="61" t="s">
        <v>0</v>
      </c>
      <c r="AB99" t="s">
        <v>535</v>
      </c>
      <c r="AD99" t="s">
        <v>534</v>
      </c>
    </row>
    <row r="100" spans="1:33" x14ac:dyDescent="0.25">
      <c r="C100" s="61">
        <f>C99</f>
        <v>2013</v>
      </c>
      <c r="D100" s="6">
        <f>D99</f>
        <v>2014</v>
      </c>
      <c r="E100" t="s">
        <v>182</v>
      </c>
      <c r="F100" s="63">
        <v>12</v>
      </c>
      <c r="G100" s="66" t="s">
        <v>733</v>
      </c>
      <c r="H100" s="66" t="s">
        <v>733</v>
      </c>
      <c r="I100" s="11">
        <v>10</v>
      </c>
      <c r="J100" s="66" t="s">
        <v>734</v>
      </c>
      <c r="K100" s="66" t="s">
        <v>734</v>
      </c>
      <c r="L100" s="66" t="s">
        <v>712</v>
      </c>
      <c r="M100" s="66" t="s">
        <v>188</v>
      </c>
      <c r="N100" s="66" t="s">
        <v>189</v>
      </c>
      <c r="O100" s="71">
        <v>1</v>
      </c>
      <c r="P100" s="48">
        <v>0</v>
      </c>
      <c r="Q100" s="48">
        <v>1</v>
      </c>
      <c r="R100" s="48">
        <v>0</v>
      </c>
      <c r="S100" s="120">
        <v>1</v>
      </c>
      <c r="T100" s="100" t="s">
        <v>178</v>
      </c>
      <c r="U100" s="70">
        <f t="shared" si="14"/>
        <v>1</v>
      </c>
      <c r="V100" s="48">
        <f t="shared" si="15"/>
        <v>0</v>
      </c>
      <c r="W100" s="48">
        <f>IF(AND(ISNUMBER(I100), I100&gt;0), 1, 0)</f>
        <v>1</v>
      </c>
      <c r="X100" s="48">
        <f t="shared" si="17"/>
        <v>0</v>
      </c>
      <c r="Y100" s="48">
        <f t="shared" si="13"/>
        <v>0</v>
      </c>
      <c r="Z100" s="61">
        <v>-1</v>
      </c>
      <c r="AA100" s="61" t="s">
        <v>0</v>
      </c>
      <c r="AB100" t="s">
        <v>124</v>
      </c>
    </row>
    <row r="101" spans="1:33" x14ac:dyDescent="0.25">
      <c r="C101" s="61">
        <f t="shared" si="27"/>
        <v>2013</v>
      </c>
      <c r="D101" s="6">
        <f t="shared" si="28"/>
        <v>2014</v>
      </c>
      <c r="E101" t="s">
        <v>367</v>
      </c>
      <c r="F101" s="67" t="s">
        <v>154</v>
      </c>
      <c r="G101" s="66" t="s">
        <v>733</v>
      </c>
      <c r="H101" s="66" t="s">
        <v>733</v>
      </c>
      <c r="I101" s="11">
        <v>11.3</v>
      </c>
      <c r="J101" s="66" t="s">
        <v>734</v>
      </c>
      <c r="K101" s="66" t="s">
        <v>734</v>
      </c>
      <c r="L101" s="66" t="s">
        <v>712</v>
      </c>
      <c r="M101" s="66" t="s">
        <v>188</v>
      </c>
      <c r="N101" s="66" t="s">
        <v>189</v>
      </c>
      <c r="O101" s="70">
        <v>1</v>
      </c>
      <c r="P101" s="48">
        <v>-1</v>
      </c>
      <c r="Q101" s="48">
        <v>1</v>
      </c>
      <c r="R101" s="48">
        <v>1</v>
      </c>
      <c r="S101" s="120">
        <v>1</v>
      </c>
      <c r="T101" s="97" t="s">
        <v>178</v>
      </c>
      <c r="U101" s="70">
        <f t="shared" ref="U101:U102" si="31">IF(AND(ISNUMBER(F101), F101&gt;0), 1, 0)</f>
        <v>0</v>
      </c>
      <c r="V101" s="48">
        <f t="shared" si="15"/>
        <v>0</v>
      </c>
      <c r="W101" s="48">
        <f>IF(AND(ISNUMBER(I101), I101&gt;0), 1, 0)</f>
        <v>1</v>
      </c>
      <c r="X101" s="48">
        <f t="shared" si="17"/>
        <v>0</v>
      </c>
      <c r="Y101" s="48">
        <f t="shared" ref="Y101:Y111" si="32">IF(AND(ISNUMBER(L101), L101&gt;0), 1, 0)</f>
        <v>0</v>
      </c>
      <c r="Z101" s="61">
        <v>-1</v>
      </c>
      <c r="AA101" s="61" t="s">
        <v>0</v>
      </c>
      <c r="AB101" t="s">
        <v>368</v>
      </c>
    </row>
    <row r="102" spans="1:33" x14ac:dyDescent="0.25">
      <c r="C102" s="61">
        <f t="shared" si="27"/>
        <v>2013</v>
      </c>
      <c r="D102" s="6">
        <f t="shared" si="28"/>
        <v>2014</v>
      </c>
      <c r="E102" t="s">
        <v>366</v>
      </c>
      <c r="F102" s="67" t="s">
        <v>154</v>
      </c>
      <c r="G102" s="66" t="s">
        <v>733</v>
      </c>
      <c r="H102" s="66" t="s">
        <v>733</v>
      </c>
      <c r="I102" s="11">
        <v>11.3</v>
      </c>
      <c r="J102" s="66" t="s">
        <v>734</v>
      </c>
      <c r="K102" s="66" t="s">
        <v>734</v>
      </c>
      <c r="L102" s="66" t="s">
        <v>712</v>
      </c>
      <c r="M102" s="66" t="s">
        <v>188</v>
      </c>
      <c r="N102" s="66" t="s">
        <v>189</v>
      </c>
      <c r="O102" s="70">
        <v>1</v>
      </c>
      <c r="P102" s="48">
        <v>-1</v>
      </c>
      <c r="Q102" s="48">
        <v>1</v>
      </c>
      <c r="R102" s="48">
        <v>1</v>
      </c>
      <c r="S102" s="120">
        <v>1</v>
      </c>
      <c r="T102" s="97" t="s">
        <v>178</v>
      </c>
      <c r="U102" s="70">
        <f t="shared" si="31"/>
        <v>0</v>
      </c>
      <c r="V102" s="48">
        <f t="shared" si="15"/>
        <v>0</v>
      </c>
      <c r="W102" s="48">
        <f t="shared" ref="W102" si="33">IF(AND(ISNUMBER(I102), I102&gt;0), 1, 0)</f>
        <v>1</v>
      </c>
      <c r="X102" s="48">
        <f t="shared" si="17"/>
        <v>0</v>
      </c>
      <c r="Y102" s="48">
        <f t="shared" si="32"/>
        <v>0</v>
      </c>
      <c r="Z102" s="61">
        <v>-1</v>
      </c>
      <c r="AA102" s="61" t="s">
        <v>0</v>
      </c>
      <c r="AB102" t="s">
        <v>369</v>
      </c>
    </row>
    <row r="103" spans="1:33" x14ac:dyDescent="0.25">
      <c r="C103" s="61">
        <f t="shared" si="27"/>
        <v>2013</v>
      </c>
      <c r="D103" s="6">
        <f t="shared" si="28"/>
        <v>2014</v>
      </c>
      <c r="E103" t="s">
        <v>549</v>
      </c>
      <c r="F103" s="63">
        <v>13</v>
      </c>
      <c r="G103" s="66" t="s">
        <v>733</v>
      </c>
      <c r="H103" s="66" t="s">
        <v>733</v>
      </c>
      <c r="I103" s="11">
        <v>11.3</v>
      </c>
      <c r="J103" s="66" t="s">
        <v>734</v>
      </c>
      <c r="K103" s="66" t="s">
        <v>734</v>
      </c>
      <c r="L103" s="66" t="s">
        <v>712</v>
      </c>
      <c r="M103" s="66" t="s">
        <v>188</v>
      </c>
      <c r="N103" s="66" t="s">
        <v>189</v>
      </c>
      <c r="O103" s="70">
        <v>1</v>
      </c>
      <c r="P103" s="48">
        <v>-1</v>
      </c>
      <c r="Q103" s="48">
        <v>1</v>
      </c>
      <c r="R103" s="48">
        <v>0</v>
      </c>
      <c r="S103" s="92">
        <v>0</v>
      </c>
      <c r="T103" s="97" t="s">
        <v>178</v>
      </c>
      <c r="U103" s="70">
        <f t="shared" ref="U103" si="34">IF(AND(ISNUMBER(F103), F103&gt;0), 1, 0)</f>
        <v>1</v>
      </c>
      <c r="V103" s="48">
        <f t="shared" si="15"/>
        <v>0</v>
      </c>
      <c r="W103" s="48">
        <f t="shared" ref="W103" si="35">IF(AND(ISNUMBER(I103), I103&gt;0), 1, 0)</f>
        <v>1</v>
      </c>
      <c r="X103" s="48">
        <f t="shared" si="17"/>
        <v>0</v>
      </c>
      <c r="Y103" s="48">
        <f t="shared" si="32"/>
        <v>0</v>
      </c>
      <c r="Z103" s="61">
        <v>-1</v>
      </c>
      <c r="AA103" s="61" t="s">
        <v>0</v>
      </c>
      <c r="AB103" t="s">
        <v>550</v>
      </c>
      <c r="AD103" t="s">
        <v>551</v>
      </c>
    </row>
    <row r="104" spans="1:33" x14ac:dyDescent="0.25">
      <c r="C104" s="61">
        <f t="shared" si="27"/>
        <v>2013</v>
      </c>
      <c r="D104" s="6">
        <f t="shared" si="28"/>
        <v>2014</v>
      </c>
      <c r="E104" t="s">
        <v>728</v>
      </c>
      <c r="F104" s="63">
        <v>13</v>
      </c>
      <c r="G104" s="66" t="s">
        <v>733</v>
      </c>
      <c r="H104" s="66" t="s">
        <v>733</v>
      </c>
      <c r="I104" s="11">
        <v>11.3</v>
      </c>
      <c r="J104" s="66" t="s">
        <v>734</v>
      </c>
      <c r="K104" s="66" t="s">
        <v>734</v>
      </c>
      <c r="L104" s="66" t="s">
        <v>712</v>
      </c>
      <c r="M104" s="66" t="s">
        <v>188</v>
      </c>
      <c r="N104" s="66" t="s">
        <v>189</v>
      </c>
      <c r="O104" s="70">
        <v>1</v>
      </c>
      <c r="P104" s="48">
        <v>-1</v>
      </c>
      <c r="Q104" s="48">
        <v>1</v>
      </c>
      <c r="R104" s="48">
        <v>0</v>
      </c>
      <c r="S104" s="92">
        <v>0</v>
      </c>
      <c r="T104" s="97" t="s">
        <v>178</v>
      </c>
      <c r="U104" s="70">
        <f t="shared" ref="U104" si="36">IF(AND(ISNUMBER(F104), F104&gt;0), 1, 0)</f>
        <v>1</v>
      </c>
      <c r="V104" s="48">
        <f t="shared" si="15"/>
        <v>0</v>
      </c>
      <c r="W104" s="48">
        <f t="shared" ref="W104" si="37">IF(AND(ISNUMBER(I104), I104&gt;0), 1, 0)</f>
        <v>1</v>
      </c>
      <c r="X104" s="48">
        <f t="shared" si="17"/>
        <v>0</v>
      </c>
      <c r="Y104" s="48">
        <f t="shared" ref="Y104" si="38">IF(AND(ISNUMBER(L104), L104&gt;0), 1, 0)</f>
        <v>0</v>
      </c>
      <c r="Z104" s="61">
        <v>-1</v>
      </c>
      <c r="AA104" s="61" t="s">
        <v>0</v>
      </c>
      <c r="AB104" t="s">
        <v>729</v>
      </c>
      <c r="AD104" t="s">
        <v>551</v>
      </c>
    </row>
    <row r="105" spans="1:33" x14ac:dyDescent="0.25">
      <c r="C105" s="61">
        <f t="shared" si="27"/>
        <v>2013</v>
      </c>
      <c r="D105" s="6">
        <f t="shared" si="28"/>
        <v>2014</v>
      </c>
      <c r="E105" t="s">
        <v>1065</v>
      </c>
      <c r="F105" s="63">
        <v>13</v>
      </c>
      <c r="G105" s="66" t="s">
        <v>733</v>
      </c>
      <c r="H105" s="66" t="s">
        <v>733</v>
      </c>
      <c r="I105" s="11">
        <v>11.3</v>
      </c>
      <c r="J105" s="66" t="s">
        <v>734</v>
      </c>
      <c r="K105" s="66" t="s">
        <v>734</v>
      </c>
      <c r="L105" s="66" t="s">
        <v>712</v>
      </c>
      <c r="M105" s="66" t="s">
        <v>188</v>
      </c>
      <c r="N105" s="66" t="s">
        <v>189</v>
      </c>
      <c r="O105" s="70">
        <v>1</v>
      </c>
      <c r="P105" s="48">
        <v>-1</v>
      </c>
      <c r="Q105" s="48">
        <v>1</v>
      </c>
      <c r="R105" s="48">
        <v>0</v>
      </c>
      <c r="S105" s="92">
        <v>0</v>
      </c>
      <c r="T105" s="97" t="s">
        <v>178</v>
      </c>
      <c r="U105" s="70">
        <f t="shared" ref="U105" si="39">IF(AND(ISNUMBER(F105), F105&gt;0), 1, 0)</f>
        <v>1</v>
      </c>
      <c r="V105" s="48">
        <f t="shared" ref="V105" si="40">IF(AND(ISNUMBER(G105), G105&gt;0), 1, 0)</f>
        <v>0</v>
      </c>
      <c r="W105" s="48">
        <f t="shared" ref="W105" si="41">IF(AND(ISNUMBER(I105), I105&gt;0), 1, 0)</f>
        <v>1</v>
      </c>
      <c r="X105" s="48">
        <f t="shared" ref="X105" si="42">IF(AND(ISNUMBER(J105), J105&gt;0), 1, 0)</f>
        <v>0</v>
      </c>
      <c r="Y105" s="48">
        <f t="shared" ref="Y105" si="43">IF(AND(ISNUMBER(L105), L105&gt;0), 1, 0)</f>
        <v>0</v>
      </c>
      <c r="Z105" s="61">
        <v>-1</v>
      </c>
      <c r="AA105" s="61" t="s">
        <v>0</v>
      </c>
      <c r="AB105" t="s">
        <v>1063</v>
      </c>
      <c r="AD105" t="s">
        <v>1064</v>
      </c>
    </row>
    <row r="106" spans="1:33" x14ac:dyDescent="0.25">
      <c r="C106" s="61">
        <f t="shared" si="27"/>
        <v>2013</v>
      </c>
      <c r="D106" s="6">
        <f t="shared" si="28"/>
        <v>2014</v>
      </c>
      <c r="E106" t="s">
        <v>183</v>
      </c>
      <c r="F106" s="52">
        <v>0</v>
      </c>
      <c r="G106" s="66" t="s">
        <v>733</v>
      </c>
      <c r="H106" s="66" t="s">
        <v>733</v>
      </c>
      <c r="I106" s="66" t="s">
        <v>155</v>
      </c>
      <c r="J106" s="66" t="s">
        <v>734</v>
      </c>
      <c r="K106" s="66" t="s">
        <v>734</v>
      </c>
      <c r="L106" s="66" t="s">
        <v>712</v>
      </c>
      <c r="M106" s="66" t="s">
        <v>188</v>
      </c>
      <c r="N106" s="66" t="s">
        <v>189</v>
      </c>
      <c r="O106" s="118">
        <v>0</v>
      </c>
      <c r="P106" s="48">
        <v>1</v>
      </c>
      <c r="Q106" s="48">
        <v>0</v>
      </c>
      <c r="R106" s="48">
        <v>0</v>
      </c>
      <c r="S106" s="92">
        <v>0</v>
      </c>
      <c r="T106" s="97" t="s">
        <v>174</v>
      </c>
      <c r="U106" s="70">
        <f>IF(AND(ISNUMBER(F106), F106&gt;0), 1, 0)</f>
        <v>0</v>
      </c>
      <c r="V106" s="48">
        <f t="shared" si="15"/>
        <v>0</v>
      </c>
      <c r="W106" s="48">
        <f t="shared" ref="W106:W108" si="44">IF(AND(ISNUMBER(I106), I106&gt;0), 1, 0)</f>
        <v>0</v>
      </c>
      <c r="X106" s="48">
        <f t="shared" si="17"/>
        <v>0</v>
      </c>
      <c r="Y106" s="48">
        <f t="shared" si="32"/>
        <v>0</v>
      </c>
      <c r="Z106" s="61">
        <v>-1</v>
      </c>
      <c r="AA106" s="61" t="s">
        <v>0</v>
      </c>
      <c r="AB106" t="s">
        <v>125</v>
      </c>
    </row>
    <row r="107" spans="1:33" x14ac:dyDescent="0.25">
      <c r="C107" s="61">
        <f t="shared" si="18"/>
        <v>2013</v>
      </c>
      <c r="D107" s="6">
        <f t="shared" si="19"/>
        <v>2014</v>
      </c>
      <c r="E107" t="s">
        <v>184</v>
      </c>
      <c r="F107" s="67" t="s">
        <v>154</v>
      </c>
      <c r="G107" s="66" t="s">
        <v>733</v>
      </c>
      <c r="H107" s="66" t="s">
        <v>733</v>
      </c>
      <c r="I107" s="48">
        <v>13</v>
      </c>
      <c r="J107" s="66" t="s">
        <v>734</v>
      </c>
      <c r="K107" s="66" t="s">
        <v>734</v>
      </c>
      <c r="L107" s="66" t="s">
        <v>712</v>
      </c>
      <c r="M107" s="66" t="s">
        <v>188</v>
      </c>
      <c r="N107" s="66" t="s">
        <v>189</v>
      </c>
      <c r="O107" s="118">
        <v>0</v>
      </c>
      <c r="P107" s="53">
        <v>1</v>
      </c>
      <c r="Q107" s="48">
        <v>0</v>
      </c>
      <c r="R107" s="48">
        <v>0</v>
      </c>
      <c r="S107" s="92">
        <v>0</v>
      </c>
      <c r="T107" s="97" t="s">
        <v>174</v>
      </c>
      <c r="U107" s="70">
        <f>IF(AND(ISNUMBER(F107), F107&gt;0), 1, 0)</f>
        <v>0</v>
      </c>
      <c r="V107" s="48">
        <f t="shared" si="15"/>
        <v>0</v>
      </c>
      <c r="W107" s="48">
        <f t="shared" si="44"/>
        <v>1</v>
      </c>
      <c r="X107" s="48">
        <f t="shared" si="17"/>
        <v>0</v>
      </c>
      <c r="Y107" s="48">
        <f t="shared" si="32"/>
        <v>0</v>
      </c>
      <c r="Z107" s="61">
        <v>-1</v>
      </c>
      <c r="AA107" s="61" t="s">
        <v>0</v>
      </c>
      <c r="AB107" t="s">
        <v>126</v>
      </c>
      <c r="AG107" t="s">
        <v>138</v>
      </c>
    </row>
    <row r="108" spans="1:33" x14ac:dyDescent="0.25">
      <c r="C108" s="61">
        <f t="shared" si="18"/>
        <v>2013</v>
      </c>
      <c r="D108" s="6">
        <f t="shared" si="19"/>
        <v>2014</v>
      </c>
      <c r="E108" t="s">
        <v>185</v>
      </c>
      <c r="F108" s="67" t="s">
        <v>154</v>
      </c>
      <c r="G108" s="66" t="s">
        <v>733</v>
      </c>
      <c r="H108" s="66" t="s">
        <v>733</v>
      </c>
      <c r="I108" s="48">
        <v>13</v>
      </c>
      <c r="J108" s="66" t="s">
        <v>734</v>
      </c>
      <c r="K108" s="66" t="s">
        <v>734</v>
      </c>
      <c r="L108" s="66" t="s">
        <v>712</v>
      </c>
      <c r="M108" s="66" t="s">
        <v>188</v>
      </c>
      <c r="N108" s="66" t="s">
        <v>189</v>
      </c>
      <c r="O108" s="118">
        <v>0</v>
      </c>
      <c r="P108" s="48">
        <v>1</v>
      </c>
      <c r="Q108" s="48">
        <v>0</v>
      </c>
      <c r="R108" s="48">
        <v>0</v>
      </c>
      <c r="S108" s="92">
        <v>0</v>
      </c>
      <c r="T108" s="97" t="s">
        <v>174</v>
      </c>
      <c r="U108" s="70">
        <f>IF(AND(ISNUMBER(F108), F108&gt;0), 1, 0)</f>
        <v>0</v>
      </c>
      <c r="V108" s="48">
        <f t="shared" si="15"/>
        <v>0</v>
      </c>
      <c r="W108" s="48">
        <f t="shared" si="44"/>
        <v>1</v>
      </c>
      <c r="X108" s="48">
        <f t="shared" si="17"/>
        <v>0</v>
      </c>
      <c r="Y108" s="48">
        <f t="shared" si="32"/>
        <v>0</v>
      </c>
      <c r="Z108" s="61">
        <v>-1</v>
      </c>
      <c r="AA108" s="61" t="s">
        <v>0</v>
      </c>
      <c r="AB108" t="s">
        <v>127</v>
      </c>
      <c r="AG108" t="s">
        <v>138</v>
      </c>
    </row>
    <row r="109" spans="1:33" x14ac:dyDescent="0.25">
      <c r="C109" s="61">
        <f t="shared" si="18"/>
        <v>2013</v>
      </c>
      <c r="D109" s="6">
        <f t="shared" si="19"/>
        <v>2014</v>
      </c>
      <c r="E109" t="s">
        <v>379</v>
      </c>
      <c r="F109" s="51">
        <v>16</v>
      </c>
      <c r="G109" s="66" t="s">
        <v>733</v>
      </c>
      <c r="H109" s="66" t="s">
        <v>733</v>
      </c>
      <c r="I109" s="11">
        <v>14</v>
      </c>
      <c r="J109" s="66" t="s">
        <v>734</v>
      </c>
      <c r="K109" s="66" t="s">
        <v>734</v>
      </c>
      <c r="L109" s="66" t="s">
        <v>712</v>
      </c>
      <c r="M109" s="66" t="s">
        <v>188</v>
      </c>
      <c r="N109" s="66" t="s">
        <v>189</v>
      </c>
      <c r="O109" s="70">
        <v>1</v>
      </c>
      <c r="P109" s="48">
        <v>1</v>
      </c>
      <c r="Q109" s="48">
        <v>0</v>
      </c>
      <c r="R109" s="48">
        <v>1</v>
      </c>
      <c r="S109" s="92">
        <v>0</v>
      </c>
      <c r="T109" s="97" t="s">
        <v>174</v>
      </c>
      <c r="U109" s="131">
        <v>0</v>
      </c>
      <c r="V109" s="48">
        <f t="shared" si="15"/>
        <v>0</v>
      </c>
      <c r="W109" s="48">
        <f t="shared" ref="W109:W111" si="45">IF(AND(ISNUMBER(I109), I109&gt;0), 1, 0)</f>
        <v>1</v>
      </c>
      <c r="X109" s="48">
        <f t="shared" si="17"/>
        <v>0</v>
      </c>
      <c r="Y109" s="48">
        <f t="shared" si="32"/>
        <v>0</v>
      </c>
      <c r="Z109" s="61">
        <v>-1</v>
      </c>
      <c r="AA109" s="61" t="s">
        <v>0</v>
      </c>
      <c r="AB109" t="s">
        <v>380</v>
      </c>
      <c r="AD109" s="125" t="s">
        <v>381</v>
      </c>
    </row>
    <row r="110" spans="1:33" x14ac:dyDescent="0.25">
      <c r="A110" t="s">
        <v>0</v>
      </c>
      <c r="C110" s="61">
        <f t="shared" si="18"/>
        <v>2013</v>
      </c>
      <c r="D110" s="6">
        <f t="shared" si="19"/>
        <v>2014</v>
      </c>
      <c r="E110" s="24" t="s">
        <v>186</v>
      </c>
      <c r="F110" s="67" t="s">
        <v>154</v>
      </c>
      <c r="G110" s="66" t="s">
        <v>733</v>
      </c>
      <c r="H110" s="66" t="s">
        <v>733</v>
      </c>
      <c r="I110" s="11">
        <v>0</v>
      </c>
      <c r="J110" s="66" t="s">
        <v>734</v>
      </c>
      <c r="K110" s="66" t="s">
        <v>734</v>
      </c>
      <c r="L110" s="66" t="s">
        <v>712</v>
      </c>
      <c r="M110" s="66" t="s">
        <v>188</v>
      </c>
      <c r="N110" s="66" t="s">
        <v>189</v>
      </c>
      <c r="O110" s="71">
        <v>0</v>
      </c>
      <c r="P110" s="48">
        <v>1</v>
      </c>
      <c r="Q110" s="48">
        <v>0</v>
      </c>
      <c r="R110" s="48">
        <v>1</v>
      </c>
      <c r="S110" s="92">
        <v>0</v>
      </c>
      <c r="T110" s="98" t="s">
        <v>227</v>
      </c>
      <c r="U110" s="70">
        <f>IF(AND(ISNUMBER(F110), F110&gt;0), 1, 0)</f>
        <v>0</v>
      </c>
      <c r="V110" s="48">
        <f t="shared" si="15"/>
        <v>0</v>
      </c>
      <c r="W110" s="48">
        <f t="shared" si="45"/>
        <v>0</v>
      </c>
      <c r="X110" s="48">
        <f t="shared" si="17"/>
        <v>0</v>
      </c>
      <c r="Y110" s="48">
        <f t="shared" si="32"/>
        <v>0</v>
      </c>
      <c r="Z110" s="61">
        <v>-1</v>
      </c>
      <c r="AA110" s="61" t="s">
        <v>0</v>
      </c>
      <c r="AB110" t="s">
        <v>128</v>
      </c>
      <c r="AD110" s="119" t="s">
        <v>363</v>
      </c>
    </row>
    <row r="111" spans="1:33" x14ac:dyDescent="0.25">
      <c r="A111" t="s">
        <v>0</v>
      </c>
      <c r="C111" s="61">
        <f t="shared" si="18"/>
        <v>2013</v>
      </c>
      <c r="D111" s="6">
        <f t="shared" si="19"/>
        <v>2014</v>
      </c>
      <c r="E111" s="24" t="s">
        <v>187</v>
      </c>
      <c r="F111" s="52">
        <v>0</v>
      </c>
      <c r="G111" s="66" t="s">
        <v>733</v>
      </c>
      <c r="H111" s="66" t="s">
        <v>733</v>
      </c>
      <c r="I111" s="11">
        <v>0</v>
      </c>
      <c r="J111" s="66" t="s">
        <v>734</v>
      </c>
      <c r="K111" s="66" t="s">
        <v>734</v>
      </c>
      <c r="L111" s="66" t="s">
        <v>712</v>
      </c>
      <c r="M111" s="66" t="s">
        <v>188</v>
      </c>
      <c r="N111" s="66" t="s">
        <v>189</v>
      </c>
      <c r="O111" s="71">
        <v>0</v>
      </c>
      <c r="P111" s="53">
        <v>1</v>
      </c>
      <c r="Q111" s="48">
        <v>0</v>
      </c>
      <c r="R111" s="48">
        <v>1</v>
      </c>
      <c r="S111" s="92">
        <v>0</v>
      </c>
      <c r="T111" s="98" t="s">
        <v>227</v>
      </c>
      <c r="U111" s="70">
        <f>IF(AND(ISNUMBER(F111), F111&gt;0), 1, 0)</f>
        <v>0</v>
      </c>
      <c r="V111" s="48">
        <f t="shared" si="15"/>
        <v>0</v>
      </c>
      <c r="W111" s="48">
        <f t="shared" si="45"/>
        <v>0</v>
      </c>
      <c r="X111" s="48">
        <f t="shared" si="17"/>
        <v>0</v>
      </c>
      <c r="Y111" s="48">
        <f t="shared" si="32"/>
        <v>0</v>
      </c>
      <c r="Z111" s="61">
        <v>-1</v>
      </c>
      <c r="AA111" s="61" t="s">
        <v>0</v>
      </c>
      <c r="AB111" t="s">
        <v>129</v>
      </c>
      <c r="AD111" s="119" t="s">
        <v>363</v>
      </c>
    </row>
    <row r="112" spans="1:33" ht="6.75" customHeight="1" x14ac:dyDescent="0.25">
      <c r="A112" t="s">
        <v>0</v>
      </c>
      <c r="D112" s="57"/>
      <c r="E112" s="58"/>
      <c r="F112" s="57"/>
      <c r="G112" s="57"/>
      <c r="H112" s="57"/>
      <c r="I112" s="57"/>
      <c r="J112" s="57"/>
      <c r="K112" s="57"/>
      <c r="L112" s="57"/>
      <c r="M112" s="59"/>
      <c r="N112" s="59"/>
      <c r="O112" s="59"/>
      <c r="P112" s="59"/>
      <c r="Q112" s="59"/>
      <c r="R112" s="59"/>
      <c r="S112" s="59"/>
      <c r="T112" s="58"/>
      <c r="U112" s="58"/>
      <c r="V112" s="58"/>
      <c r="W112" s="58"/>
      <c r="X112" s="58"/>
      <c r="Y112" s="58"/>
      <c r="Z112" s="58"/>
      <c r="AC112" s="62"/>
    </row>
    <row r="113" spans="1:28" x14ac:dyDescent="0.25">
      <c r="C113" s="60">
        <v>2013</v>
      </c>
      <c r="D113" s="60">
        <v>2015</v>
      </c>
      <c r="E113" t="s">
        <v>173</v>
      </c>
      <c r="F113" s="67" t="s">
        <v>154</v>
      </c>
      <c r="G113" s="66" t="s">
        <v>733</v>
      </c>
      <c r="H113" s="66" t="s">
        <v>733</v>
      </c>
      <c r="I113" s="66" t="s">
        <v>155</v>
      </c>
      <c r="J113" s="66" t="s">
        <v>734</v>
      </c>
      <c r="K113" s="66" t="s">
        <v>734</v>
      </c>
      <c r="L113" s="66" t="s">
        <v>712</v>
      </c>
      <c r="M113" s="66" t="s">
        <v>188</v>
      </c>
      <c r="N113" s="66" t="s">
        <v>189</v>
      </c>
      <c r="O113" s="72">
        <f t="shared" ref="O113:U122" si="46">O83</f>
        <v>1</v>
      </c>
      <c r="P113" s="61">
        <f t="shared" si="46"/>
        <v>-1</v>
      </c>
      <c r="Q113" s="61">
        <f t="shared" si="46"/>
        <v>0</v>
      </c>
      <c r="R113" s="61">
        <f t="shared" si="46"/>
        <v>0</v>
      </c>
      <c r="S113" s="92">
        <f t="shared" si="46"/>
        <v>0</v>
      </c>
      <c r="T113" s="75" t="str">
        <f t="shared" si="46"/>
        <v xml:space="preserve">SplitAirCond     </v>
      </c>
      <c r="U113" s="72">
        <f t="shared" si="46"/>
        <v>0</v>
      </c>
      <c r="V113" s="61">
        <f t="shared" ref="V113:V133" si="47">IF(AND(ISNUMBER(G113), G113&gt;0), 1, 0)</f>
        <v>0</v>
      </c>
      <c r="W113" s="61">
        <f t="shared" ref="W113:W133" si="48">IF(AND(ISNUMBER(I113), I113&gt;0), 1, 0)</f>
        <v>0</v>
      </c>
      <c r="X113" s="61">
        <f t="shared" ref="X113:X141" si="49">IF(AND(ISNUMBER(J113), J113&gt;0), 1, 0)</f>
        <v>0</v>
      </c>
      <c r="Y113" s="61">
        <f t="shared" ref="Y113:Y128" si="50">IF(AND(ISNUMBER(L113), L113&gt;0), 1, 0)</f>
        <v>0</v>
      </c>
      <c r="Z113" s="61">
        <v>-1</v>
      </c>
      <c r="AA113" s="61" t="s">
        <v>0</v>
      </c>
      <c r="AB113" s="62" t="str">
        <f t="shared" ref="AB113:AB129" si="51">AB83</f>
        <v xml:space="preserve">NoCooling - No cooling equipment                                    </v>
      </c>
    </row>
    <row r="114" spans="1:28" x14ac:dyDescent="0.25">
      <c r="C114" s="61">
        <f>C113</f>
        <v>2013</v>
      </c>
      <c r="D114" s="6">
        <f>D113</f>
        <v>2015</v>
      </c>
      <c r="E114" t="s">
        <v>174</v>
      </c>
      <c r="F114" s="63">
        <v>14</v>
      </c>
      <c r="G114" s="66" t="s">
        <v>733</v>
      </c>
      <c r="H114" s="66" t="s">
        <v>733</v>
      </c>
      <c r="I114" s="64">
        <v>11.7</v>
      </c>
      <c r="J114" s="66" t="s">
        <v>734</v>
      </c>
      <c r="K114" s="66" t="s">
        <v>734</v>
      </c>
      <c r="L114" s="66" t="s">
        <v>712</v>
      </c>
      <c r="M114" s="66" t="s">
        <v>188</v>
      </c>
      <c r="N114" s="66" t="s">
        <v>189</v>
      </c>
      <c r="O114" s="72">
        <f t="shared" si="46"/>
        <v>1</v>
      </c>
      <c r="P114" s="61">
        <f t="shared" si="46"/>
        <v>1</v>
      </c>
      <c r="Q114" s="61">
        <f t="shared" si="46"/>
        <v>0</v>
      </c>
      <c r="R114" s="61">
        <f t="shared" si="46"/>
        <v>1</v>
      </c>
      <c r="S114" s="92">
        <f t="shared" si="46"/>
        <v>0</v>
      </c>
      <c r="T114" s="75" t="str">
        <f t="shared" si="46"/>
        <v xml:space="preserve">SplitAirCond     </v>
      </c>
      <c r="U114" s="72">
        <f t="shared" si="46"/>
        <v>1</v>
      </c>
      <c r="V114" s="61">
        <f t="shared" si="47"/>
        <v>0</v>
      </c>
      <c r="W114" s="61">
        <f t="shared" si="48"/>
        <v>1</v>
      </c>
      <c r="X114" s="61">
        <f t="shared" si="49"/>
        <v>0</v>
      </c>
      <c r="Y114" s="61">
        <f t="shared" si="50"/>
        <v>0</v>
      </c>
      <c r="Z114" s="61">
        <v>-1</v>
      </c>
      <c r="AA114" s="61" t="s">
        <v>0</v>
      </c>
      <c r="AB114" s="62" t="str">
        <f t="shared" si="51"/>
        <v xml:space="preserve">SplitAirCond - Split air conditioning system                        </v>
      </c>
    </row>
    <row r="115" spans="1:28" x14ac:dyDescent="0.25">
      <c r="C115" s="61">
        <f t="shared" ref="C115:C141" si="52">C114</f>
        <v>2013</v>
      </c>
      <c r="D115" s="6">
        <f t="shared" ref="D115:D141" si="53">D114</f>
        <v>2015</v>
      </c>
      <c r="E115" t="s">
        <v>175</v>
      </c>
      <c r="F115" s="63">
        <v>14</v>
      </c>
      <c r="G115" s="66" t="s">
        <v>733</v>
      </c>
      <c r="H115" s="66" t="s">
        <v>733</v>
      </c>
      <c r="I115" s="64">
        <v>11</v>
      </c>
      <c r="J115" s="66" t="s">
        <v>734</v>
      </c>
      <c r="K115" s="66" t="s">
        <v>734</v>
      </c>
      <c r="L115" s="66" t="s">
        <v>712</v>
      </c>
      <c r="M115" s="66" t="s">
        <v>188</v>
      </c>
      <c r="N115" s="66" t="s">
        <v>189</v>
      </c>
      <c r="O115" s="72">
        <f t="shared" si="46"/>
        <v>1</v>
      </c>
      <c r="P115" s="61">
        <f t="shared" si="46"/>
        <v>1</v>
      </c>
      <c r="Q115" s="61">
        <f t="shared" si="46"/>
        <v>0</v>
      </c>
      <c r="R115" s="61">
        <f t="shared" si="46"/>
        <v>1</v>
      </c>
      <c r="S115" s="92">
        <f t="shared" si="46"/>
        <v>0</v>
      </c>
      <c r="T115" s="75" t="str">
        <f t="shared" si="46"/>
        <v xml:space="preserve">SplitAirCond     </v>
      </c>
      <c r="U115" s="72">
        <f t="shared" si="46"/>
        <v>1</v>
      </c>
      <c r="V115" s="61">
        <f t="shared" si="47"/>
        <v>0</v>
      </c>
      <c r="W115" s="61">
        <f t="shared" si="48"/>
        <v>1</v>
      </c>
      <c r="X115" s="61">
        <f t="shared" si="49"/>
        <v>0</v>
      </c>
      <c r="Y115" s="61">
        <f t="shared" si="50"/>
        <v>0</v>
      </c>
      <c r="Z115" s="61">
        <v>-1</v>
      </c>
      <c r="AA115" s="61" t="s">
        <v>0</v>
      </c>
      <c r="AB115" s="62" t="str">
        <f t="shared" si="51"/>
        <v xml:space="preserve">PkgAirCond - Central packaged A/C system (&lt; 65 kBtuh)               </v>
      </c>
    </row>
    <row r="116" spans="1:28" x14ac:dyDescent="0.25">
      <c r="C116" s="61">
        <f t="shared" si="52"/>
        <v>2013</v>
      </c>
      <c r="D116" s="6">
        <f t="shared" si="53"/>
        <v>2015</v>
      </c>
      <c r="E116" t="s">
        <v>176</v>
      </c>
      <c r="F116" s="51">
        <v>13</v>
      </c>
      <c r="G116" s="66" t="s">
        <v>733</v>
      </c>
      <c r="H116" s="66" t="s">
        <v>733</v>
      </c>
      <c r="I116" s="11">
        <v>0</v>
      </c>
      <c r="J116" s="66" t="s">
        <v>734</v>
      </c>
      <c r="K116" s="66" t="s">
        <v>734</v>
      </c>
      <c r="L116" s="66" t="s">
        <v>712</v>
      </c>
      <c r="M116" s="66" t="s">
        <v>188</v>
      </c>
      <c r="N116" s="66" t="s">
        <v>189</v>
      </c>
      <c r="O116" s="72">
        <f t="shared" si="46"/>
        <v>0</v>
      </c>
      <c r="P116" s="61">
        <f t="shared" si="46"/>
        <v>1</v>
      </c>
      <c r="Q116" s="61">
        <f t="shared" si="46"/>
        <v>0</v>
      </c>
      <c r="R116" s="61">
        <f t="shared" si="46"/>
        <v>1</v>
      </c>
      <c r="S116" s="92">
        <f t="shared" si="46"/>
        <v>0</v>
      </c>
      <c r="T116" s="75" t="str">
        <f t="shared" si="46"/>
        <v xml:space="preserve">SplitAirCond     </v>
      </c>
      <c r="U116" s="72">
        <f t="shared" si="46"/>
        <v>1</v>
      </c>
      <c r="V116" s="61">
        <f t="shared" si="47"/>
        <v>0</v>
      </c>
      <c r="W116" s="61">
        <f t="shared" si="48"/>
        <v>0</v>
      </c>
      <c r="X116" s="61">
        <f t="shared" si="49"/>
        <v>0</v>
      </c>
      <c r="Y116" s="61">
        <f t="shared" si="50"/>
        <v>0</v>
      </c>
      <c r="Z116" s="61">
        <v>-1</v>
      </c>
      <c r="AA116" s="61" t="s">
        <v>0</v>
      </c>
      <c r="AB116" s="62" t="str">
        <f t="shared" si="51"/>
        <v xml:space="preserve">LrgPkgAirCond - Large packaged A/C system (&gt;= 65 kBtuh)             </v>
      </c>
    </row>
    <row r="117" spans="1:28" x14ac:dyDescent="0.25">
      <c r="C117" s="61">
        <f t="shared" si="52"/>
        <v>2013</v>
      </c>
      <c r="D117" s="6">
        <f t="shared" si="53"/>
        <v>2015</v>
      </c>
      <c r="E117" t="s">
        <v>515</v>
      </c>
      <c r="F117" s="51">
        <v>12</v>
      </c>
      <c r="G117" s="66" t="s">
        <v>733</v>
      </c>
      <c r="H117" s="66" t="s">
        <v>733</v>
      </c>
      <c r="I117" s="149">
        <v>10</v>
      </c>
      <c r="J117" s="66" t="s">
        <v>734</v>
      </c>
      <c r="K117" s="66" t="s">
        <v>734</v>
      </c>
      <c r="L117" s="66" t="s">
        <v>712</v>
      </c>
      <c r="M117" s="66" t="s">
        <v>188</v>
      </c>
      <c r="N117" s="66" t="s">
        <v>189</v>
      </c>
      <c r="O117" s="72">
        <f t="shared" si="46"/>
        <v>1</v>
      </c>
      <c r="P117" s="61">
        <f t="shared" si="46"/>
        <v>1</v>
      </c>
      <c r="Q117" s="61">
        <f t="shared" si="46"/>
        <v>0</v>
      </c>
      <c r="R117" s="61">
        <f t="shared" si="46"/>
        <v>1</v>
      </c>
      <c r="S117" s="92">
        <f t="shared" si="46"/>
        <v>0</v>
      </c>
      <c r="T117" s="75" t="str">
        <f t="shared" si="46"/>
        <v xml:space="preserve">SplitAirCond     </v>
      </c>
      <c r="U117" s="72">
        <f t="shared" si="46"/>
        <v>1</v>
      </c>
      <c r="V117" s="61">
        <f t="shared" si="47"/>
        <v>0</v>
      </c>
      <c r="W117" s="61">
        <f t="shared" si="48"/>
        <v>1</v>
      </c>
      <c r="X117" s="61">
        <f t="shared" si="49"/>
        <v>0</v>
      </c>
      <c r="Y117" s="61">
        <f t="shared" si="50"/>
        <v>0</v>
      </c>
      <c r="Z117" s="61">
        <v>-1</v>
      </c>
      <c r="AA117" s="61" t="s">
        <v>0</v>
      </c>
      <c r="AB117" s="62" t="str">
        <f t="shared" si="51"/>
        <v xml:space="preserve">SDHVSplitAirCond - Small duct, high velocity, split A/C system                        </v>
      </c>
    </row>
    <row r="118" spans="1:28" x14ac:dyDescent="0.25">
      <c r="C118" s="61">
        <f t="shared" si="52"/>
        <v>2013</v>
      </c>
      <c r="D118" s="6">
        <f t="shared" si="53"/>
        <v>2015</v>
      </c>
      <c r="E118" t="s">
        <v>526</v>
      </c>
      <c r="F118" s="51">
        <v>14</v>
      </c>
      <c r="G118" s="66" t="s">
        <v>733</v>
      </c>
      <c r="H118" s="66" t="s">
        <v>733</v>
      </c>
      <c r="I118" s="11">
        <v>11.7</v>
      </c>
      <c r="J118" s="66" t="s">
        <v>734</v>
      </c>
      <c r="K118" s="66" t="s">
        <v>734</v>
      </c>
      <c r="L118" s="66" t="s">
        <v>712</v>
      </c>
      <c r="M118" s="66" t="s">
        <v>188</v>
      </c>
      <c r="N118" s="66" t="s">
        <v>189</v>
      </c>
      <c r="O118" s="72">
        <f t="shared" si="46"/>
        <v>1</v>
      </c>
      <c r="P118" s="61">
        <f t="shared" si="46"/>
        <v>0</v>
      </c>
      <c r="Q118" s="61">
        <f t="shared" si="46"/>
        <v>0</v>
      </c>
      <c r="R118" s="61">
        <f t="shared" si="46"/>
        <v>1</v>
      </c>
      <c r="S118" s="92">
        <f t="shared" si="46"/>
        <v>1</v>
      </c>
      <c r="T118" s="75" t="str">
        <f t="shared" si="46"/>
        <v xml:space="preserve">SplitAirCond     </v>
      </c>
      <c r="U118" s="72">
        <f t="shared" si="46"/>
        <v>1</v>
      </c>
      <c r="V118" s="61">
        <f t="shared" si="47"/>
        <v>0</v>
      </c>
      <c r="W118" s="61">
        <f t="shared" si="48"/>
        <v>1</v>
      </c>
      <c r="X118" s="61">
        <f t="shared" si="49"/>
        <v>0</v>
      </c>
      <c r="Y118" s="61">
        <f t="shared" si="50"/>
        <v>0</v>
      </c>
      <c r="Z118" s="61">
        <v>-1</v>
      </c>
      <c r="AA118" s="61" t="s">
        <v>0</v>
      </c>
      <c r="AB118" s="62" t="str">
        <f t="shared" si="51"/>
        <v>DuctlessMiniSplitAirCond – Ductless mini-split A/C system</v>
      </c>
    </row>
    <row r="119" spans="1:28" x14ac:dyDescent="0.25">
      <c r="C119" s="61">
        <f t="shared" si="52"/>
        <v>2013</v>
      </c>
      <c r="D119" s="6">
        <f t="shared" si="53"/>
        <v>2015</v>
      </c>
      <c r="E119" t="s">
        <v>527</v>
      </c>
      <c r="F119" s="51">
        <v>14</v>
      </c>
      <c r="G119" s="66" t="s">
        <v>733</v>
      </c>
      <c r="H119" s="66" t="s">
        <v>733</v>
      </c>
      <c r="I119" s="11">
        <v>11.7</v>
      </c>
      <c r="J119" s="66" t="s">
        <v>734</v>
      </c>
      <c r="K119" s="66" t="s">
        <v>734</v>
      </c>
      <c r="L119" s="66" t="s">
        <v>712</v>
      </c>
      <c r="M119" s="66" t="s">
        <v>188</v>
      </c>
      <c r="N119" s="66" t="s">
        <v>189</v>
      </c>
      <c r="O119" s="72">
        <f t="shared" si="46"/>
        <v>1</v>
      </c>
      <c r="P119" s="61">
        <f t="shared" si="46"/>
        <v>0</v>
      </c>
      <c r="Q119" s="61">
        <f t="shared" si="46"/>
        <v>0</v>
      </c>
      <c r="R119" s="61">
        <f t="shared" si="46"/>
        <v>1</v>
      </c>
      <c r="S119" s="92">
        <f t="shared" si="46"/>
        <v>1</v>
      </c>
      <c r="T119" s="75" t="str">
        <f t="shared" si="46"/>
        <v xml:space="preserve">SplitAirCond     </v>
      </c>
      <c r="U119" s="72">
        <f t="shared" si="46"/>
        <v>1</v>
      </c>
      <c r="V119" s="61">
        <f t="shared" si="47"/>
        <v>0</v>
      </c>
      <c r="W119" s="61">
        <f t="shared" si="48"/>
        <v>1</v>
      </c>
      <c r="X119" s="61">
        <f t="shared" si="49"/>
        <v>0</v>
      </c>
      <c r="Y119" s="61">
        <f t="shared" si="50"/>
        <v>0</v>
      </c>
      <c r="Z119" s="61">
        <v>-1</v>
      </c>
      <c r="AA119" s="61" t="s">
        <v>0</v>
      </c>
      <c r="AB119" s="62" t="str">
        <f t="shared" si="51"/>
        <v>DuctlessMultiSplitAirCond - Ductless multi-split A/C system</v>
      </c>
    </row>
    <row r="120" spans="1:28" x14ac:dyDescent="0.25">
      <c r="C120" s="61">
        <f t="shared" si="52"/>
        <v>2013</v>
      </c>
      <c r="D120" s="6">
        <f t="shared" si="53"/>
        <v>2015</v>
      </c>
      <c r="E120" t="s">
        <v>523</v>
      </c>
      <c r="F120" s="51">
        <v>13</v>
      </c>
      <c r="G120" s="66" t="s">
        <v>733</v>
      </c>
      <c r="H120" s="66" t="s">
        <v>733</v>
      </c>
      <c r="I120" s="11">
        <v>11.3</v>
      </c>
      <c r="J120" s="66" t="s">
        <v>734</v>
      </c>
      <c r="K120" s="66" t="s">
        <v>734</v>
      </c>
      <c r="L120" s="66" t="s">
        <v>712</v>
      </c>
      <c r="M120" s="66" t="s">
        <v>188</v>
      </c>
      <c r="N120" s="66" t="s">
        <v>189</v>
      </c>
      <c r="O120" s="72">
        <f t="shared" si="46"/>
        <v>1</v>
      </c>
      <c r="P120" s="61">
        <f t="shared" si="46"/>
        <v>0</v>
      </c>
      <c r="Q120" s="61">
        <f t="shared" si="46"/>
        <v>0</v>
      </c>
      <c r="R120" s="61">
        <f t="shared" si="46"/>
        <v>1</v>
      </c>
      <c r="S120" s="92">
        <f t="shared" si="46"/>
        <v>1</v>
      </c>
      <c r="T120" s="75" t="str">
        <f t="shared" si="46"/>
        <v xml:space="preserve">SplitAirCond     </v>
      </c>
      <c r="U120" s="72">
        <f t="shared" si="46"/>
        <v>1</v>
      </c>
      <c r="V120" s="61">
        <f t="shared" si="47"/>
        <v>0</v>
      </c>
      <c r="W120" s="61">
        <f t="shared" si="48"/>
        <v>1</v>
      </c>
      <c r="X120" s="61">
        <f t="shared" si="49"/>
        <v>0</v>
      </c>
      <c r="Y120" s="61">
        <f t="shared" si="50"/>
        <v>0</v>
      </c>
      <c r="Z120" s="61">
        <v>-1</v>
      </c>
      <c r="AA120" s="61" t="s">
        <v>0</v>
      </c>
      <c r="AB120" s="62" t="str">
        <f t="shared" si="51"/>
        <v>DuctlessVRFAirCond - Ductless variable refrigerant flow (VRF) A/C system</v>
      </c>
    </row>
    <row r="121" spans="1:28" x14ac:dyDescent="0.25">
      <c r="C121" s="61">
        <f t="shared" si="52"/>
        <v>2013</v>
      </c>
      <c r="D121" s="6">
        <f t="shared" si="53"/>
        <v>2015</v>
      </c>
      <c r="E121" t="s">
        <v>177</v>
      </c>
      <c r="F121" s="67" t="s">
        <v>154</v>
      </c>
      <c r="G121" s="66" t="s">
        <v>733</v>
      </c>
      <c r="H121" s="66" t="s">
        <v>733</v>
      </c>
      <c r="I121" s="11">
        <v>8.5</v>
      </c>
      <c r="J121" s="66" t="s">
        <v>734</v>
      </c>
      <c r="K121" s="66" t="s">
        <v>734</v>
      </c>
      <c r="L121" s="66" t="s">
        <v>712</v>
      </c>
      <c r="M121" s="66" t="s">
        <v>188</v>
      </c>
      <c r="N121" s="66" t="s">
        <v>189</v>
      </c>
      <c r="O121" s="72">
        <f t="shared" si="46"/>
        <v>1</v>
      </c>
      <c r="P121" s="61">
        <f t="shared" si="46"/>
        <v>0</v>
      </c>
      <c r="Q121" s="61">
        <f t="shared" si="46"/>
        <v>0</v>
      </c>
      <c r="R121" s="61">
        <f t="shared" si="46"/>
        <v>0</v>
      </c>
      <c r="S121" s="92">
        <f t="shared" si="46"/>
        <v>1</v>
      </c>
      <c r="T121" s="75" t="str">
        <f t="shared" si="46"/>
        <v xml:space="preserve">SplitAirCond     </v>
      </c>
      <c r="U121" s="72">
        <f t="shared" si="46"/>
        <v>0</v>
      </c>
      <c r="V121" s="61">
        <f t="shared" si="47"/>
        <v>0</v>
      </c>
      <c r="W121" s="61">
        <f t="shared" si="48"/>
        <v>1</v>
      </c>
      <c r="X121" s="61">
        <f t="shared" si="49"/>
        <v>0</v>
      </c>
      <c r="Y121" s="61">
        <f t="shared" si="50"/>
        <v>0</v>
      </c>
      <c r="Z121" s="61">
        <v>-1</v>
      </c>
      <c r="AA121" s="61" t="s">
        <v>0</v>
      </c>
      <c r="AB121" s="62" t="str">
        <f t="shared" si="51"/>
        <v xml:space="preserve">RoomAirCond - Non-central room A/C system                           </v>
      </c>
    </row>
    <row r="122" spans="1:28" x14ac:dyDescent="0.25">
      <c r="C122" s="61">
        <f t="shared" si="52"/>
        <v>2013</v>
      </c>
      <c r="D122" s="6">
        <f t="shared" si="53"/>
        <v>2015</v>
      </c>
      <c r="E122" t="s">
        <v>178</v>
      </c>
      <c r="F122" s="63">
        <v>14</v>
      </c>
      <c r="G122" s="66" t="s">
        <v>733</v>
      </c>
      <c r="H122" s="66" t="s">
        <v>733</v>
      </c>
      <c r="I122" s="10">
        <v>11.7</v>
      </c>
      <c r="J122" s="66" t="s">
        <v>734</v>
      </c>
      <c r="K122" s="66" t="s">
        <v>734</v>
      </c>
      <c r="L122" s="66" t="s">
        <v>712</v>
      </c>
      <c r="M122" s="66" t="s">
        <v>188</v>
      </c>
      <c r="N122" s="66" t="s">
        <v>189</v>
      </c>
      <c r="O122" s="72">
        <f t="shared" si="46"/>
        <v>1</v>
      </c>
      <c r="P122" s="61">
        <f t="shared" si="46"/>
        <v>1</v>
      </c>
      <c r="Q122" s="61">
        <f t="shared" si="46"/>
        <v>1</v>
      </c>
      <c r="R122" s="61">
        <f t="shared" si="46"/>
        <v>1</v>
      </c>
      <c r="S122" s="92">
        <f t="shared" si="46"/>
        <v>0</v>
      </c>
      <c r="T122" s="75" t="str">
        <f t="shared" si="46"/>
        <v xml:space="preserve">SplitHeatPump    </v>
      </c>
      <c r="U122" s="72">
        <f t="shared" si="46"/>
        <v>1</v>
      </c>
      <c r="V122" s="61">
        <f t="shared" si="47"/>
        <v>0</v>
      </c>
      <c r="W122" s="61">
        <f t="shared" si="48"/>
        <v>1</v>
      </c>
      <c r="X122" s="61">
        <f t="shared" si="49"/>
        <v>0</v>
      </c>
      <c r="Y122" s="61">
        <f t="shared" si="50"/>
        <v>0</v>
      </c>
      <c r="Z122" s="61">
        <v>-1</v>
      </c>
      <c r="AA122" s="61" t="s">
        <v>0</v>
      </c>
      <c r="AB122" s="62" t="str">
        <f t="shared" si="51"/>
        <v xml:space="preserve">SplitHeatPump - Split heat pump system                              </v>
      </c>
    </row>
    <row r="123" spans="1:28" x14ac:dyDescent="0.25">
      <c r="C123" s="61">
        <f t="shared" si="52"/>
        <v>2013</v>
      </c>
      <c r="D123" s="6">
        <f t="shared" si="53"/>
        <v>2015</v>
      </c>
      <c r="E123" t="s">
        <v>179</v>
      </c>
      <c r="F123" s="63">
        <v>14</v>
      </c>
      <c r="G123" s="66" t="s">
        <v>733</v>
      </c>
      <c r="H123" s="66" t="s">
        <v>733</v>
      </c>
      <c r="I123" s="10">
        <v>11.7</v>
      </c>
      <c r="J123" s="66" t="s">
        <v>734</v>
      </c>
      <c r="K123" s="66" t="s">
        <v>734</v>
      </c>
      <c r="L123" s="66" t="s">
        <v>712</v>
      </c>
      <c r="M123" s="66" t="s">
        <v>188</v>
      </c>
      <c r="N123" s="66" t="s">
        <v>189</v>
      </c>
      <c r="O123" s="72">
        <f t="shared" ref="O123:U129" si="54">O93</f>
        <v>1</v>
      </c>
      <c r="P123" s="61">
        <f t="shared" si="54"/>
        <v>1</v>
      </c>
      <c r="Q123" s="61">
        <f t="shared" si="54"/>
        <v>1</v>
      </c>
      <c r="R123" s="61">
        <f t="shared" si="54"/>
        <v>1</v>
      </c>
      <c r="S123" s="92">
        <f t="shared" si="54"/>
        <v>0</v>
      </c>
      <c r="T123" s="75" t="str">
        <f t="shared" si="54"/>
        <v xml:space="preserve">SplitHeatPump    </v>
      </c>
      <c r="U123" s="72">
        <f t="shared" si="54"/>
        <v>1</v>
      </c>
      <c r="V123" s="61">
        <f t="shared" si="47"/>
        <v>0</v>
      </c>
      <c r="W123" s="61">
        <f t="shared" si="48"/>
        <v>1</v>
      </c>
      <c r="X123" s="61">
        <f t="shared" si="49"/>
        <v>0</v>
      </c>
      <c r="Y123" s="61">
        <f t="shared" si="50"/>
        <v>0</v>
      </c>
      <c r="Z123" s="61">
        <v>-1</v>
      </c>
      <c r="AA123" s="61" t="s">
        <v>0</v>
      </c>
      <c r="AB123" s="62" t="str">
        <f t="shared" si="51"/>
        <v xml:space="preserve">PkgHeatPump - Central single-packaged heat pump system (&lt; 65 kBtuh) </v>
      </c>
    </row>
    <row r="124" spans="1:28" x14ac:dyDescent="0.25">
      <c r="C124" s="61">
        <f t="shared" si="52"/>
        <v>2013</v>
      </c>
      <c r="D124" s="6">
        <f t="shared" si="53"/>
        <v>2015</v>
      </c>
      <c r="E124" t="s">
        <v>180</v>
      </c>
      <c r="F124" s="67" t="s">
        <v>154</v>
      </c>
      <c r="G124" s="66" t="s">
        <v>733</v>
      </c>
      <c r="H124" s="66" t="s">
        <v>733</v>
      </c>
      <c r="I124" s="11">
        <v>0</v>
      </c>
      <c r="J124" s="66" t="s">
        <v>734</v>
      </c>
      <c r="K124" s="66" t="s">
        <v>734</v>
      </c>
      <c r="L124" s="66" t="s">
        <v>712</v>
      </c>
      <c r="M124" s="66" t="s">
        <v>188</v>
      </c>
      <c r="N124" s="66" t="s">
        <v>189</v>
      </c>
      <c r="O124" s="72">
        <f t="shared" si="54"/>
        <v>0</v>
      </c>
      <c r="P124" s="61">
        <f t="shared" si="54"/>
        <v>1</v>
      </c>
      <c r="Q124" s="61">
        <f t="shared" si="54"/>
        <v>1</v>
      </c>
      <c r="R124" s="61">
        <f t="shared" si="54"/>
        <v>1</v>
      </c>
      <c r="S124" s="92">
        <f t="shared" si="54"/>
        <v>0</v>
      </c>
      <c r="T124" s="75" t="str">
        <f t="shared" si="54"/>
        <v xml:space="preserve">SplitHeatPump    </v>
      </c>
      <c r="U124" s="72">
        <f t="shared" si="54"/>
        <v>0</v>
      </c>
      <c r="V124" s="61">
        <f t="shared" si="47"/>
        <v>0</v>
      </c>
      <c r="W124" s="61">
        <f t="shared" si="48"/>
        <v>0</v>
      </c>
      <c r="X124" s="61">
        <f t="shared" si="49"/>
        <v>0</v>
      </c>
      <c r="Y124" s="61">
        <f t="shared" si="50"/>
        <v>0</v>
      </c>
      <c r="Z124" s="61">
        <v>-1</v>
      </c>
      <c r="AA124" s="61" t="s">
        <v>0</v>
      </c>
      <c r="AB124" s="62" t="str">
        <f t="shared" si="51"/>
        <v xml:space="preserve">LrgPkgHeatPump - Large packaged heat pump system (&gt;= 65 kBtuh)      </v>
      </c>
    </row>
    <row r="125" spans="1:28" x14ac:dyDescent="0.25">
      <c r="A125" t="s">
        <v>0</v>
      </c>
      <c r="C125" s="61">
        <f t="shared" si="52"/>
        <v>2013</v>
      </c>
      <c r="D125" s="6">
        <f t="shared" si="53"/>
        <v>2015</v>
      </c>
      <c r="E125" s="24" t="s">
        <v>181</v>
      </c>
      <c r="F125" s="67" t="s">
        <v>154</v>
      </c>
      <c r="G125" s="66" t="s">
        <v>733</v>
      </c>
      <c r="H125" s="66" t="s">
        <v>733</v>
      </c>
      <c r="I125" s="66" t="s">
        <v>155</v>
      </c>
      <c r="J125" s="66" t="s">
        <v>734</v>
      </c>
      <c r="K125" s="66" t="s">
        <v>734</v>
      </c>
      <c r="L125" s="66" t="s">
        <v>712</v>
      </c>
      <c r="M125" s="11">
        <v>0</v>
      </c>
      <c r="N125" s="11">
        <v>0</v>
      </c>
      <c r="O125" s="72">
        <f t="shared" si="54"/>
        <v>0</v>
      </c>
      <c r="P125" s="61">
        <f t="shared" si="54"/>
        <v>1</v>
      </c>
      <c r="Q125" s="61">
        <f t="shared" si="54"/>
        <v>0</v>
      </c>
      <c r="R125" s="61">
        <f t="shared" si="54"/>
        <v>1</v>
      </c>
      <c r="S125" s="92">
        <f t="shared" si="54"/>
        <v>0</v>
      </c>
      <c r="T125" s="75" t="str">
        <f t="shared" si="54"/>
        <v>N/A</v>
      </c>
      <c r="U125" s="72">
        <f t="shared" si="54"/>
        <v>0</v>
      </c>
      <c r="V125" s="61">
        <f t="shared" si="47"/>
        <v>0</v>
      </c>
      <c r="W125" s="61">
        <f t="shared" si="48"/>
        <v>0</v>
      </c>
      <c r="X125" s="61">
        <f t="shared" si="49"/>
        <v>0</v>
      </c>
      <c r="Y125" s="61">
        <f t="shared" si="50"/>
        <v>0</v>
      </c>
      <c r="Z125" s="61">
        <v>-1</v>
      </c>
      <c r="AA125" s="61" t="s">
        <v>0</v>
      </c>
      <c r="AB125" s="62" t="str">
        <f t="shared" si="51"/>
        <v xml:space="preserve">GasCooling - Gas absorption cooling                                 </v>
      </c>
    </row>
    <row r="126" spans="1:28" x14ac:dyDescent="0.25">
      <c r="C126" s="61">
        <f t="shared" si="52"/>
        <v>2013</v>
      </c>
      <c r="D126" s="6">
        <f t="shared" si="53"/>
        <v>2015</v>
      </c>
      <c r="E126" t="s">
        <v>511</v>
      </c>
      <c r="F126" s="51">
        <v>12</v>
      </c>
      <c r="G126" s="66" t="s">
        <v>733</v>
      </c>
      <c r="H126" s="66" t="s">
        <v>733</v>
      </c>
      <c r="I126" s="149">
        <v>10</v>
      </c>
      <c r="J126" s="66" t="s">
        <v>734</v>
      </c>
      <c r="K126" s="66" t="s">
        <v>734</v>
      </c>
      <c r="L126" s="66" t="s">
        <v>712</v>
      </c>
      <c r="M126" s="66" t="s">
        <v>188</v>
      </c>
      <c r="N126" s="66" t="s">
        <v>189</v>
      </c>
      <c r="O126" s="72">
        <f t="shared" si="54"/>
        <v>1</v>
      </c>
      <c r="P126" s="61">
        <f t="shared" si="54"/>
        <v>1</v>
      </c>
      <c r="Q126" s="61">
        <f t="shared" si="54"/>
        <v>1</v>
      </c>
      <c r="R126" s="61">
        <f t="shared" si="54"/>
        <v>1</v>
      </c>
      <c r="S126" s="92">
        <f t="shared" si="54"/>
        <v>0</v>
      </c>
      <c r="T126" s="75" t="str">
        <f t="shared" si="54"/>
        <v xml:space="preserve">SplitHeatPump    </v>
      </c>
      <c r="U126" s="72">
        <f t="shared" si="54"/>
        <v>1</v>
      </c>
      <c r="V126" s="61">
        <f t="shared" si="47"/>
        <v>0</v>
      </c>
      <c r="W126" s="61">
        <f t="shared" si="48"/>
        <v>1</v>
      </c>
      <c r="X126" s="61">
        <f t="shared" si="49"/>
        <v>0</v>
      </c>
      <c r="Y126" s="61">
        <f t="shared" si="50"/>
        <v>0</v>
      </c>
      <c r="Z126" s="61">
        <v>-1</v>
      </c>
      <c r="AA126" s="61" t="s">
        <v>0</v>
      </c>
      <c r="AB126" s="62" t="str">
        <f t="shared" si="51"/>
        <v xml:space="preserve">SDHVSplitHeatPump - Small duct, high velocity, central split heat pump                              </v>
      </c>
    </row>
    <row r="127" spans="1:28" x14ac:dyDescent="0.25">
      <c r="C127" s="61">
        <f t="shared" si="52"/>
        <v>2013</v>
      </c>
      <c r="D127" s="6">
        <f t="shared" si="53"/>
        <v>2015</v>
      </c>
      <c r="E127" t="s">
        <v>530</v>
      </c>
      <c r="F127" s="51">
        <v>14</v>
      </c>
      <c r="G127" s="66" t="s">
        <v>733</v>
      </c>
      <c r="H127" s="66" t="s">
        <v>733</v>
      </c>
      <c r="I127" s="11">
        <v>11.7</v>
      </c>
      <c r="J127" s="66" t="s">
        <v>734</v>
      </c>
      <c r="K127" s="66" t="s">
        <v>734</v>
      </c>
      <c r="L127" s="66" t="s">
        <v>712</v>
      </c>
      <c r="M127" s="66" t="s">
        <v>188</v>
      </c>
      <c r="N127" s="66" t="s">
        <v>189</v>
      </c>
      <c r="O127" s="72">
        <f t="shared" si="54"/>
        <v>1</v>
      </c>
      <c r="P127" s="61">
        <f t="shared" si="54"/>
        <v>0</v>
      </c>
      <c r="Q127" s="61">
        <f t="shared" si="54"/>
        <v>1</v>
      </c>
      <c r="R127" s="61">
        <f t="shared" si="54"/>
        <v>1</v>
      </c>
      <c r="S127" s="92">
        <f t="shared" si="54"/>
        <v>1</v>
      </c>
      <c r="T127" s="75" t="str">
        <f t="shared" si="54"/>
        <v xml:space="preserve">SplitHeatPump    </v>
      </c>
      <c r="U127" s="72">
        <f t="shared" si="54"/>
        <v>1</v>
      </c>
      <c r="V127" s="61">
        <f t="shared" si="47"/>
        <v>0</v>
      </c>
      <c r="W127" s="61">
        <f t="shared" si="48"/>
        <v>1</v>
      </c>
      <c r="X127" s="61">
        <f t="shared" si="49"/>
        <v>0</v>
      </c>
      <c r="Y127" s="61">
        <f t="shared" si="50"/>
        <v>0</v>
      </c>
      <c r="Z127" s="61">
        <v>-1</v>
      </c>
      <c r="AA127" s="61" t="s">
        <v>0</v>
      </c>
      <c r="AB127" s="62" t="str">
        <f t="shared" si="51"/>
        <v>DuctlessMiniSplitHeatPump – Ductless mini-split heat pump system</v>
      </c>
    </row>
    <row r="128" spans="1:28" x14ac:dyDescent="0.25">
      <c r="C128" s="61">
        <f t="shared" si="52"/>
        <v>2013</v>
      </c>
      <c r="D128" s="6">
        <f t="shared" si="53"/>
        <v>2015</v>
      </c>
      <c r="E128" t="s">
        <v>531</v>
      </c>
      <c r="F128" s="51">
        <v>14</v>
      </c>
      <c r="G128" s="66" t="s">
        <v>733</v>
      </c>
      <c r="H128" s="66" t="s">
        <v>733</v>
      </c>
      <c r="I128" s="11">
        <v>11.7</v>
      </c>
      <c r="J128" s="66" t="s">
        <v>734</v>
      </c>
      <c r="K128" s="66" t="s">
        <v>734</v>
      </c>
      <c r="L128" s="66" t="s">
        <v>712</v>
      </c>
      <c r="M128" s="66" t="s">
        <v>188</v>
      </c>
      <c r="N128" s="66" t="s">
        <v>189</v>
      </c>
      <c r="O128" s="72">
        <f t="shared" si="54"/>
        <v>1</v>
      </c>
      <c r="P128" s="61">
        <f t="shared" si="54"/>
        <v>0</v>
      </c>
      <c r="Q128" s="61">
        <f t="shared" si="54"/>
        <v>1</v>
      </c>
      <c r="R128" s="61">
        <f t="shared" si="54"/>
        <v>1</v>
      </c>
      <c r="S128" s="92">
        <f t="shared" si="54"/>
        <v>1</v>
      </c>
      <c r="T128" s="75" t="str">
        <f t="shared" si="54"/>
        <v xml:space="preserve">SplitHeatPump    </v>
      </c>
      <c r="U128" s="72">
        <f t="shared" si="54"/>
        <v>1</v>
      </c>
      <c r="V128" s="61">
        <f t="shared" si="47"/>
        <v>0</v>
      </c>
      <c r="W128" s="61">
        <f t="shared" si="48"/>
        <v>1</v>
      </c>
      <c r="X128" s="61">
        <f t="shared" si="49"/>
        <v>0</v>
      </c>
      <c r="Y128" s="61">
        <f t="shared" si="50"/>
        <v>0</v>
      </c>
      <c r="Z128" s="61">
        <v>-1</v>
      </c>
      <c r="AA128" s="61" t="s">
        <v>0</v>
      </c>
      <c r="AB128" s="62" t="str">
        <f t="shared" si="51"/>
        <v>DuctlessMultiSplitHeatPump - Ductless multi-split heat pump system</v>
      </c>
    </row>
    <row r="129" spans="1:30" x14ac:dyDescent="0.25">
      <c r="C129" s="61">
        <f t="shared" si="52"/>
        <v>2013</v>
      </c>
      <c r="D129" s="6">
        <f t="shared" si="53"/>
        <v>2015</v>
      </c>
      <c r="E129" t="s">
        <v>520</v>
      </c>
      <c r="F129" s="51">
        <v>13</v>
      </c>
      <c r="G129" s="66" t="s">
        <v>733</v>
      </c>
      <c r="H129" s="66" t="s">
        <v>733</v>
      </c>
      <c r="I129" s="11">
        <v>11.3</v>
      </c>
      <c r="J129" s="66" t="s">
        <v>734</v>
      </c>
      <c r="K129" s="66" t="s">
        <v>734</v>
      </c>
      <c r="L129" s="66" t="s">
        <v>712</v>
      </c>
      <c r="M129" s="66" t="s">
        <v>188</v>
      </c>
      <c r="N129" s="66" t="s">
        <v>189</v>
      </c>
      <c r="O129" s="72">
        <f t="shared" si="54"/>
        <v>1</v>
      </c>
      <c r="P129" s="61">
        <f t="shared" si="54"/>
        <v>-1</v>
      </c>
      <c r="Q129" s="61">
        <f t="shared" si="54"/>
        <v>1</v>
      </c>
      <c r="R129" s="61">
        <f t="shared" si="54"/>
        <v>1</v>
      </c>
      <c r="S129" s="92">
        <f t="shared" si="54"/>
        <v>1</v>
      </c>
      <c r="T129" s="75" t="str">
        <f t="shared" si="54"/>
        <v xml:space="preserve">SplitHeatPump    </v>
      </c>
      <c r="U129" s="72">
        <f t="shared" si="54"/>
        <v>1</v>
      </c>
      <c r="V129" s="61">
        <f t="shared" si="47"/>
        <v>0</v>
      </c>
      <c r="W129" s="61">
        <f t="shared" si="48"/>
        <v>1</v>
      </c>
      <c r="X129" s="61">
        <f t="shared" si="49"/>
        <v>0</v>
      </c>
      <c r="Y129" s="61">
        <f t="shared" ref="Y129:Y141" si="55">IF(AND(ISNUMBER(L129), L129&gt;0), 1, 0)</f>
        <v>0</v>
      </c>
      <c r="Z129" s="61">
        <v>-1</v>
      </c>
      <c r="AA129" s="61" t="s">
        <v>0</v>
      </c>
      <c r="AB129" s="62" t="str">
        <f t="shared" si="51"/>
        <v>DuctlessVRFHeatPump - Ductless variable refrigerant flow (VRF) heat pump system</v>
      </c>
    </row>
    <row r="130" spans="1:30" x14ac:dyDescent="0.25">
      <c r="C130" s="61">
        <f t="shared" si="52"/>
        <v>2013</v>
      </c>
      <c r="D130" s="6">
        <f t="shared" si="53"/>
        <v>2015</v>
      </c>
      <c r="E130" t="s">
        <v>182</v>
      </c>
      <c r="F130" s="63">
        <v>12</v>
      </c>
      <c r="G130" s="66" t="s">
        <v>733</v>
      </c>
      <c r="H130" s="66" t="s">
        <v>733</v>
      </c>
      <c r="I130" s="10">
        <v>10</v>
      </c>
      <c r="J130" s="66" t="s">
        <v>734</v>
      </c>
      <c r="K130" s="66" t="s">
        <v>734</v>
      </c>
      <c r="L130" s="66" t="s">
        <v>712</v>
      </c>
      <c r="M130" s="66" t="s">
        <v>188</v>
      </c>
      <c r="N130" s="66" t="s">
        <v>189</v>
      </c>
      <c r="O130" s="72">
        <f t="shared" ref="O130:Q130" si="56">O100</f>
        <v>1</v>
      </c>
      <c r="P130" s="61">
        <f t="shared" si="56"/>
        <v>0</v>
      </c>
      <c r="Q130" s="61">
        <f t="shared" si="56"/>
        <v>1</v>
      </c>
      <c r="R130" s="61">
        <f t="shared" ref="R130:U141" si="57">R100</f>
        <v>0</v>
      </c>
      <c r="S130" s="92">
        <f t="shared" si="57"/>
        <v>1</v>
      </c>
      <c r="T130" s="75" t="str">
        <f t="shared" si="57"/>
        <v xml:space="preserve">SplitHeatPump    </v>
      </c>
      <c r="U130" s="72">
        <f t="shared" si="57"/>
        <v>1</v>
      </c>
      <c r="V130" s="61">
        <f t="shared" si="47"/>
        <v>0</v>
      </c>
      <c r="W130" s="61">
        <f t="shared" si="48"/>
        <v>1</v>
      </c>
      <c r="X130" s="61">
        <f t="shared" si="49"/>
        <v>0</v>
      </c>
      <c r="Y130" s="61">
        <f t="shared" si="55"/>
        <v>0</v>
      </c>
      <c r="Z130" s="61">
        <v>-1</v>
      </c>
      <c r="AA130" s="61" t="s">
        <v>0</v>
      </c>
      <c r="AB130" s="62" t="str">
        <f t="shared" ref="AB130" si="58">AB100</f>
        <v xml:space="preserve">RoomHeatPump - Room (non-central) heat pump system                  </v>
      </c>
    </row>
    <row r="131" spans="1:30" x14ac:dyDescent="0.25">
      <c r="C131" s="61">
        <f t="shared" si="52"/>
        <v>2013</v>
      </c>
      <c r="D131" s="6">
        <f t="shared" si="53"/>
        <v>2015</v>
      </c>
      <c r="E131" t="s">
        <v>367</v>
      </c>
      <c r="F131" s="63">
        <v>14</v>
      </c>
      <c r="G131" s="66" t="s">
        <v>733</v>
      </c>
      <c r="H131" s="66" t="s">
        <v>733</v>
      </c>
      <c r="I131" s="10">
        <v>11.7</v>
      </c>
      <c r="J131" s="66" t="s">
        <v>734</v>
      </c>
      <c r="K131" s="66" t="s">
        <v>734</v>
      </c>
      <c r="L131" s="66" t="s">
        <v>712</v>
      </c>
      <c r="M131" s="66" t="s">
        <v>188</v>
      </c>
      <c r="N131" s="66" t="s">
        <v>189</v>
      </c>
      <c r="O131" s="72">
        <f t="shared" ref="O131:Q131" si="59">O101</f>
        <v>1</v>
      </c>
      <c r="P131" s="61">
        <f t="shared" si="59"/>
        <v>-1</v>
      </c>
      <c r="Q131" s="61">
        <f t="shared" si="59"/>
        <v>1</v>
      </c>
      <c r="R131" s="61">
        <f t="shared" si="57"/>
        <v>1</v>
      </c>
      <c r="S131" s="92">
        <f t="shared" si="57"/>
        <v>1</v>
      </c>
      <c r="T131" s="75" t="str">
        <f t="shared" si="57"/>
        <v xml:space="preserve">SplitHeatPump    </v>
      </c>
      <c r="U131" s="72">
        <f t="shared" si="57"/>
        <v>0</v>
      </c>
      <c r="V131" s="61">
        <f t="shared" si="47"/>
        <v>0</v>
      </c>
      <c r="W131" s="61">
        <f t="shared" si="48"/>
        <v>1</v>
      </c>
      <c r="X131" s="61">
        <f t="shared" si="49"/>
        <v>0</v>
      </c>
      <c r="Y131" s="61">
        <f t="shared" si="55"/>
        <v>0</v>
      </c>
      <c r="Z131" s="61">
        <v>-1</v>
      </c>
      <c r="AA131" s="61" t="s">
        <v>0</v>
      </c>
      <c r="AB131" s="62" t="str">
        <f t="shared" ref="AB131" si="60">AB101</f>
        <v>AirToWaterHeatPump - Air to water heat pump (able to heat DHW)</v>
      </c>
    </row>
    <row r="132" spans="1:30" x14ac:dyDescent="0.25">
      <c r="C132" s="61">
        <f t="shared" si="52"/>
        <v>2013</v>
      </c>
      <c r="D132" s="6">
        <f t="shared" si="53"/>
        <v>2015</v>
      </c>
      <c r="E132" t="s">
        <v>366</v>
      </c>
      <c r="F132" s="63">
        <v>14</v>
      </c>
      <c r="G132" s="66" t="s">
        <v>733</v>
      </c>
      <c r="H132" s="66" t="s">
        <v>733</v>
      </c>
      <c r="I132" s="10">
        <v>11.7</v>
      </c>
      <c r="J132" s="66" t="s">
        <v>734</v>
      </c>
      <c r="K132" s="66" t="s">
        <v>734</v>
      </c>
      <c r="L132" s="66" t="s">
        <v>712</v>
      </c>
      <c r="M132" s="66" t="s">
        <v>188</v>
      </c>
      <c r="N132" s="66" t="s">
        <v>189</v>
      </c>
      <c r="O132" s="72">
        <f t="shared" ref="O132:Q135" si="61">O102</f>
        <v>1</v>
      </c>
      <c r="P132" s="61">
        <f t="shared" si="61"/>
        <v>-1</v>
      </c>
      <c r="Q132" s="61">
        <f t="shared" si="61"/>
        <v>1</v>
      </c>
      <c r="R132" s="61">
        <f t="shared" si="57"/>
        <v>1</v>
      </c>
      <c r="S132" s="92">
        <f t="shared" si="57"/>
        <v>1</v>
      </c>
      <c r="T132" s="75" t="str">
        <f t="shared" si="57"/>
        <v xml:space="preserve">SplitHeatPump    </v>
      </c>
      <c r="U132" s="72">
        <f t="shared" si="57"/>
        <v>0</v>
      </c>
      <c r="V132" s="61">
        <f t="shared" si="47"/>
        <v>0</v>
      </c>
      <c r="W132" s="61">
        <f t="shared" si="48"/>
        <v>1</v>
      </c>
      <c r="X132" s="61">
        <f t="shared" si="49"/>
        <v>0</v>
      </c>
      <c r="Y132" s="61">
        <f t="shared" si="55"/>
        <v>0</v>
      </c>
      <c r="Z132" s="61">
        <v>-1</v>
      </c>
      <c r="AA132" s="61" t="s">
        <v>0</v>
      </c>
      <c r="AB132" s="62" t="str">
        <f>AB102</f>
        <v>GroundSourceHeatPump - Ground source heat pump (able to heat DHW)</v>
      </c>
    </row>
    <row r="133" spans="1:30" x14ac:dyDescent="0.25">
      <c r="C133" s="61">
        <f t="shared" si="52"/>
        <v>2013</v>
      </c>
      <c r="D133" s="6">
        <f t="shared" si="53"/>
        <v>2015</v>
      </c>
      <c r="E133" t="s">
        <v>549</v>
      </c>
      <c r="F133" s="51">
        <v>14</v>
      </c>
      <c r="G133" s="66" t="s">
        <v>733</v>
      </c>
      <c r="H133" s="66" t="s">
        <v>733</v>
      </c>
      <c r="I133" s="11">
        <v>11.7</v>
      </c>
      <c r="J133" s="66" t="s">
        <v>734</v>
      </c>
      <c r="K133" s="66" t="s">
        <v>734</v>
      </c>
      <c r="L133" s="66" t="s">
        <v>712</v>
      </c>
      <c r="M133" s="66" t="s">
        <v>188</v>
      </c>
      <c r="N133" s="66" t="s">
        <v>189</v>
      </c>
      <c r="O133" s="72">
        <f t="shared" si="61"/>
        <v>1</v>
      </c>
      <c r="P133" s="61">
        <f t="shared" si="61"/>
        <v>-1</v>
      </c>
      <c r="Q133" s="61">
        <f t="shared" si="61"/>
        <v>1</v>
      </c>
      <c r="R133" s="61">
        <f t="shared" si="57"/>
        <v>0</v>
      </c>
      <c r="S133" s="92">
        <f t="shared" si="57"/>
        <v>0</v>
      </c>
      <c r="T133" s="75" t="str">
        <f t="shared" si="57"/>
        <v xml:space="preserve">SplitHeatPump    </v>
      </c>
      <c r="U133" s="72">
        <f t="shared" si="57"/>
        <v>1</v>
      </c>
      <c r="V133" s="61">
        <f t="shared" si="47"/>
        <v>0</v>
      </c>
      <c r="W133" s="61">
        <f t="shared" si="48"/>
        <v>1</v>
      </c>
      <c r="X133" s="61">
        <f t="shared" si="49"/>
        <v>0</v>
      </c>
      <c r="Y133" s="61">
        <f t="shared" si="55"/>
        <v>0</v>
      </c>
      <c r="Z133" s="61">
        <v>-1</v>
      </c>
      <c r="AA133" s="61" t="s">
        <v>0</v>
      </c>
      <c r="AB133" s="62" t="str">
        <f>AB103</f>
        <v>VCHP - Variable Capacity Heat Pump</v>
      </c>
    </row>
    <row r="134" spans="1:30" x14ac:dyDescent="0.25">
      <c r="C134" s="61">
        <f t="shared" si="52"/>
        <v>2013</v>
      </c>
      <c r="D134" s="6">
        <f t="shared" si="53"/>
        <v>2015</v>
      </c>
      <c r="E134" t="s">
        <v>728</v>
      </c>
      <c r="F134" s="51">
        <v>14</v>
      </c>
      <c r="G134" s="66" t="s">
        <v>733</v>
      </c>
      <c r="H134" s="66" t="s">
        <v>733</v>
      </c>
      <c r="I134" s="11">
        <v>11.7</v>
      </c>
      <c r="J134" s="66" t="s">
        <v>734</v>
      </c>
      <c r="K134" s="66" t="s">
        <v>734</v>
      </c>
      <c r="L134" s="66" t="s">
        <v>712</v>
      </c>
      <c r="M134" s="66" t="s">
        <v>188</v>
      </c>
      <c r="N134" s="66" t="s">
        <v>189</v>
      </c>
      <c r="O134" s="72">
        <f t="shared" si="61"/>
        <v>1</v>
      </c>
      <c r="P134" s="61">
        <f t="shared" si="61"/>
        <v>-1</v>
      </c>
      <c r="Q134" s="61">
        <f t="shared" si="61"/>
        <v>1</v>
      </c>
      <c r="R134" s="61">
        <f t="shared" si="57"/>
        <v>0</v>
      </c>
      <c r="S134" s="92">
        <f t="shared" si="57"/>
        <v>0</v>
      </c>
      <c r="T134" s="75" t="str">
        <f t="shared" si="57"/>
        <v xml:space="preserve">SplitHeatPump    </v>
      </c>
      <c r="U134" s="72">
        <f t="shared" si="57"/>
        <v>1</v>
      </c>
      <c r="V134" s="61">
        <f t="shared" ref="V134:V141" si="62">IF(AND(ISNUMBER(G134), G134&gt;0), 1, 0)</f>
        <v>0</v>
      </c>
      <c r="W134" s="61">
        <f t="shared" ref="W134" si="63">IF(AND(ISNUMBER(I134), I134&gt;0), 1, 0)</f>
        <v>1</v>
      </c>
      <c r="X134" s="61">
        <f t="shared" si="49"/>
        <v>0</v>
      </c>
      <c r="Y134" s="61">
        <f t="shared" ref="Y134" si="64">IF(AND(ISNUMBER(L134), L134&gt;0), 1, 0)</f>
        <v>0</v>
      </c>
      <c r="Z134" s="61">
        <v>-1</v>
      </c>
      <c r="AA134" s="61" t="s">
        <v>0</v>
      </c>
      <c r="AB134" s="62" t="str">
        <f>AB104</f>
        <v>VCHP2 - Variable Capacity Heat Pump</v>
      </c>
    </row>
    <row r="135" spans="1:30" x14ac:dyDescent="0.25">
      <c r="C135" s="61">
        <f t="shared" si="52"/>
        <v>2013</v>
      </c>
      <c r="D135" s="6">
        <f t="shared" si="53"/>
        <v>2015</v>
      </c>
      <c r="E135" t="s">
        <v>1065</v>
      </c>
      <c r="F135" s="51">
        <v>14</v>
      </c>
      <c r="G135" s="66" t="s">
        <v>733</v>
      </c>
      <c r="H135" s="66" t="s">
        <v>733</v>
      </c>
      <c r="I135" s="11">
        <v>11.7</v>
      </c>
      <c r="J135" s="66" t="s">
        <v>734</v>
      </c>
      <c r="K135" s="66" t="s">
        <v>734</v>
      </c>
      <c r="L135" s="66" t="s">
        <v>712</v>
      </c>
      <c r="M135" s="66" t="s">
        <v>188</v>
      </c>
      <c r="N135" s="66" t="s">
        <v>189</v>
      </c>
      <c r="O135" s="72">
        <f t="shared" si="61"/>
        <v>1</v>
      </c>
      <c r="P135" s="61">
        <f t="shared" si="61"/>
        <v>-1</v>
      </c>
      <c r="Q135" s="61">
        <f t="shared" si="61"/>
        <v>1</v>
      </c>
      <c r="R135" s="61">
        <f t="shared" si="57"/>
        <v>0</v>
      </c>
      <c r="S135" s="92">
        <f t="shared" si="57"/>
        <v>0</v>
      </c>
      <c r="T135" s="75" t="str">
        <f t="shared" si="57"/>
        <v xml:space="preserve">SplitHeatPump    </v>
      </c>
      <c r="U135" s="72">
        <f t="shared" si="57"/>
        <v>1</v>
      </c>
      <c r="V135" s="61">
        <f t="shared" ref="V135" si="65">IF(AND(ISNUMBER(G135), G135&gt;0), 1, 0)</f>
        <v>0</v>
      </c>
      <c r="W135" s="61">
        <f t="shared" ref="W135" si="66">IF(AND(ISNUMBER(I135), I135&gt;0), 1, 0)</f>
        <v>1</v>
      </c>
      <c r="X135" s="61">
        <f t="shared" ref="X135" si="67">IF(AND(ISNUMBER(J135), J135&gt;0), 1, 0)</f>
        <v>0</v>
      </c>
      <c r="Y135" s="61">
        <f t="shared" ref="Y135" si="68">IF(AND(ISNUMBER(L135), L135&gt;0), 1, 0)</f>
        <v>0</v>
      </c>
      <c r="Z135" s="61">
        <v>-1</v>
      </c>
      <c r="AA135" s="61" t="s">
        <v>0</v>
      </c>
      <c r="AB135" s="62" t="str">
        <f>AB105</f>
        <v>VCHP3</v>
      </c>
    </row>
    <row r="136" spans="1:30" x14ac:dyDescent="0.25">
      <c r="C136" s="61">
        <f t="shared" si="52"/>
        <v>2013</v>
      </c>
      <c r="D136" s="6">
        <f t="shared" si="53"/>
        <v>2015</v>
      </c>
      <c r="E136" t="s">
        <v>183</v>
      </c>
      <c r="F136" s="52">
        <v>0</v>
      </c>
      <c r="G136" s="66" t="s">
        <v>733</v>
      </c>
      <c r="H136" s="66" t="s">
        <v>733</v>
      </c>
      <c r="I136" s="66" t="s">
        <v>155</v>
      </c>
      <c r="J136" s="66" t="s">
        <v>734</v>
      </c>
      <c r="K136" s="66" t="s">
        <v>734</v>
      </c>
      <c r="L136" s="66" t="s">
        <v>712</v>
      </c>
      <c r="M136" s="66" t="s">
        <v>188</v>
      </c>
      <c r="N136" s="66" t="s">
        <v>189</v>
      </c>
      <c r="O136" s="72">
        <f t="shared" ref="O136:Q136" si="69">O106</f>
        <v>0</v>
      </c>
      <c r="P136" s="61">
        <f t="shared" si="69"/>
        <v>1</v>
      </c>
      <c r="Q136" s="61">
        <f t="shared" si="69"/>
        <v>0</v>
      </c>
      <c r="R136" s="61">
        <f t="shared" si="57"/>
        <v>0</v>
      </c>
      <c r="S136" s="92">
        <f t="shared" si="57"/>
        <v>0</v>
      </c>
      <c r="T136" s="75" t="str">
        <f t="shared" si="57"/>
        <v xml:space="preserve">SplitAirCond     </v>
      </c>
      <c r="U136" s="72">
        <f t="shared" si="57"/>
        <v>0</v>
      </c>
      <c r="V136" s="61">
        <f t="shared" si="62"/>
        <v>0</v>
      </c>
      <c r="W136" s="61">
        <f t="shared" ref="W136:W141" si="70">IF(AND(ISNUMBER(I136), I136&gt;0), 1, 0)</f>
        <v>0</v>
      </c>
      <c r="X136" s="61">
        <f t="shared" si="49"/>
        <v>0</v>
      </c>
      <c r="Y136" s="61">
        <f t="shared" si="55"/>
        <v>0</v>
      </c>
      <c r="Z136" s="61">
        <v>-1</v>
      </c>
      <c r="AA136" s="61" t="s">
        <v>0</v>
      </c>
      <c r="AB136" s="62" t="str">
        <f t="shared" ref="AB136" si="71">AB106</f>
        <v xml:space="preserve">EvapDirect - Direct evaporative cooling system                      </v>
      </c>
    </row>
    <row r="137" spans="1:30" x14ac:dyDescent="0.25">
      <c r="C137" s="61">
        <f t="shared" si="52"/>
        <v>2013</v>
      </c>
      <c r="D137" s="6">
        <f t="shared" si="53"/>
        <v>2015</v>
      </c>
      <c r="E137" t="s">
        <v>184</v>
      </c>
      <c r="F137" s="67" t="s">
        <v>154</v>
      </c>
      <c r="G137" s="66" t="s">
        <v>733</v>
      </c>
      <c r="H137" s="66" t="s">
        <v>733</v>
      </c>
      <c r="I137" s="48">
        <v>13</v>
      </c>
      <c r="J137" s="66" t="s">
        <v>734</v>
      </c>
      <c r="K137" s="66" t="s">
        <v>734</v>
      </c>
      <c r="L137" s="66" t="s">
        <v>712</v>
      </c>
      <c r="M137" s="66" t="s">
        <v>188</v>
      </c>
      <c r="N137" s="66" t="s">
        <v>189</v>
      </c>
      <c r="O137" s="72">
        <f t="shared" ref="O137:Q137" si="72">O107</f>
        <v>0</v>
      </c>
      <c r="P137" s="61">
        <f t="shared" si="72"/>
        <v>1</v>
      </c>
      <c r="Q137" s="61">
        <f t="shared" si="72"/>
        <v>0</v>
      </c>
      <c r="R137" s="61">
        <f t="shared" si="57"/>
        <v>0</v>
      </c>
      <c r="S137" s="92">
        <f t="shared" si="57"/>
        <v>0</v>
      </c>
      <c r="T137" s="75" t="str">
        <f t="shared" si="57"/>
        <v xml:space="preserve">SplitAirCond     </v>
      </c>
      <c r="U137" s="72">
        <f t="shared" si="57"/>
        <v>0</v>
      </c>
      <c r="V137" s="61">
        <f t="shared" si="62"/>
        <v>0</v>
      </c>
      <c r="W137" s="61">
        <f t="shared" si="70"/>
        <v>1</v>
      </c>
      <c r="X137" s="61">
        <f t="shared" si="49"/>
        <v>0</v>
      </c>
      <c r="Y137" s="61">
        <f t="shared" si="55"/>
        <v>0</v>
      </c>
      <c r="Z137" s="61">
        <v>-1</v>
      </c>
      <c r="AA137" s="61" t="s">
        <v>0</v>
      </c>
      <c r="AB137" s="62" t="str">
        <f t="shared" ref="AB137" si="73">AB107</f>
        <v xml:space="preserve">EvapIndirDirect - Indirect-direct evaporative cooling system        </v>
      </c>
    </row>
    <row r="138" spans="1:30" x14ac:dyDescent="0.25">
      <c r="C138" s="61">
        <f t="shared" si="52"/>
        <v>2013</v>
      </c>
      <c r="D138" s="6">
        <f t="shared" si="53"/>
        <v>2015</v>
      </c>
      <c r="E138" t="s">
        <v>185</v>
      </c>
      <c r="F138" s="67" t="s">
        <v>154</v>
      </c>
      <c r="G138" s="66" t="s">
        <v>733</v>
      </c>
      <c r="H138" s="66" t="s">
        <v>733</v>
      </c>
      <c r="I138" s="48">
        <v>13</v>
      </c>
      <c r="J138" s="66" t="s">
        <v>734</v>
      </c>
      <c r="K138" s="66" t="s">
        <v>734</v>
      </c>
      <c r="L138" s="66" t="s">
        <v>712</v>
      </c>
      <c r="M138" s="66" t="s">
        <v>188</v>
      </c>
      <c r="N138" s="66" t="s">
        <v>189</v>
      </c>
      <c r="O138" s="72">
        <f t="shared" ref="O138:Q138" si="74">O108</f>
        <v>0</v>
      </c>
      <c r="P138" s="61">
        <f t="shared" si="74"/>
        <v>1</v>
      </c>
      <c r="Q138" s="61">
        <f t="shared" si="74"/>
        <v>0</v>
      </c>
      <c r="R138" s="61">
        <f t="shared" si="57"/>
        <v>0</v>
      </c>
      <c r="S138" s="92">
        <f t="shared" si="57"/>
        <v>0</v>
      </c>
      <c r="T138" s="75" t="str">
        <f t="shared" si="57"/>
        <v xml:space="preserve">SplitAirCond     </v>
      </c>
      <c r="U138" s="72">
        <f t="shared" si="57"/>
        <v>0</v>
      </c>
      <c r="V138" s="61">
        <f t="shared" si="62"/>
        <v>0</v>
      </c>
      <c r="W138" s="61">
        <f t="shared" si="70"/>
        <v>1</v>
      </c>
      <c r="X138" s="61">
        <f t="shared" si="49"/>
        <v>0</v>
      </c>
      <c r="Y138" s="61">
        <f t="shared" si="55"/>
        <v>0</v>
      </c>
      <c r="Z138" s="61">
        <v>-1</v>
      </c>
      <c r="AA138" s="61" t="s">
        <v>0</v>
      </c>
      <c r="AB138" s="62" t="str">
        <f t="shared" ref="AB138" si="75">AB108</f>
        <v xml:space="preserve">EvapIndirect - Indirect evaporative cooling system                  </v>
      </c>
    </row>
    <row r="139" spans="1:30" x14ac:dyDescent="0.25">
      <c r="C139" s="61">
        <f t="shared" si="52"/>
        <v>2013</v>
      </c>
      <c r="D139" s="6">
        <f t="shared" si="53"/>
        <v>2015</v>
      </c>
      <c r="E139" t="s">
        <v>379</v>
      </c>
      <c r="F139" s="51">
        <v>16</v>
      </c>
      <c r="G139" s="66" t="s">
        <v>733</v>
      </c>
      <c r="H139" s="66" t="s">
        <v>733</v>
      </c>
      <c r="I139" s="11">
        <v>14</v>
      </c>
      <c r="J139" s="66" t="s">
        <v>734</v>
      </c>
      <c r="K139" s="66" t="s">
        <v>734</v>
      </c>
      <c r="L139" s="66" t="s">
        <v>712</v>
      </c>
      <c r="M139" s="66" t="s">
        <v>188</v>
      </c>
      <c r="N139" s="66" t="s">
        <v>189</v>
      </c>
      <c r="O139" s="72">
        <f t="shared" ref="O139:Q139" si="76">O109</f>
        <v>1</v>
      </c>
      <c r="P139" s="61">
        <f t="shared" si="76"/>
        <v>1</v>
      </c>
      <c r="Q139" s="61">
        <f t="shared" si="76"/>
        <v>0</v>
      </c>
      <c r="R139" s="61">
        <f t="shared" si="57"/>
        <v>1</v>
      </c>
      <c r="S139" s="92">
        <f t="shared" si="57"/>
        <v>0</v>
      </c>
      <c r="T139" s="75" t="str">
        <f t="shared" si="57"/>
        <v xml:space="preserve">SplitAirCond     </v>
      </c>
      <c r="U139" s="72">
        <f t="shared" si="57"/>
        <v>0</v>
      </c>
      <c r="V139" s="61">
        <f t="shared" si="62"/>
        <v>0</v>
      </c>
      <c r="W139" s="61">
        <f t="shared" si="70"/>
        <v>1</v>
      </c>
      <c r="X139" s="61">
        <f t="shared" si="49"/>
        <v>0</v>
      </c>
      <c r="Y139" s="61">
        <f t="shared" si="55"/>
        <v>0</v>
      </c>
      <c r="Z139" s="61">
        <v>-1</v>
      </c>
      <c r="AA139" s="61" t="s">
        <v>0</v>
      </c>
      <c r="AB139" s="62" t="str">
        <f t="shared" ref="AB139" si="77">AB109</f>
        <v>EvapCondenser - Evaporatively-cooled condenser for split AC systems</v>
      </c>
      <c r="AD139" s="125"/>
    </row>
    <row r="140" spans="1:30" x14ac:dyDescent="0.25">
      <c r="A140" t="s">
        <v>0</v>
      </c>
      <c r="C140" s="61">
        <f t="shared" si="52"/>
        <v>2013</v>
      </c>
      <c r="D140" s="6">
        <f t="shared" si="53"/>
        <v>2015</v>
      </c>
      <c r="E140" s="24" t="s">
        <v>186</v>
      </c>
      <c r="F140" s="67" t="s">
        <v>154</v>
      </c>
      <c r="G140" s="66" t="s">
        <v>733</v>
      </c>
      <c r="H140" s="66" t="s">
        <v>733</v>
      </c>
      <c r="I140" s="11">
        <v>0</v>
      </c>
      <c r="J140" s="66" t="s">
        <v>734</v>
      </c>
      <c r="K140" s="66" t="s">
        <v>734</v>
      </c>
      <c r="L140" s="66" t="s">
        <v>712</v>
      </c>
      <c r="M140" s="66" t="s">
        <v>188</v>
      </c>
      <c r="N140" s="66" t="s">
        <v>189</v>
      </c>
      <c r="O140" s="72">
        <f t="shared" ref="O140:Q140" si="78">O110</f>
        <v>0</v>
      </c>
      <c r="P140" s="61">
        <f t="shared" si="78"/>
        <v>1</v>
      </c>
      <c r="Q140" s="61">
        <f t="shared" si="78"/>
        <v>0</v>
      </c>
      <c r="R140" s="61">
        <f t="shared" si="57"/>
        <v>1</v>
      </c>
      <c r="S140" s="92">
        <f t="shared" si="57"/>
        <v>0</v>
      </c>
      <c r="T140" s="75" t="str">
        <f t="shared" si="57"/>
        <v>N/A</v>
      </c>
      <c r="U140" s="72">
        <f t="shared" si="57"/>
        <v>0</v>
      </c>
      <c r="V140" s="61">
        <f t="shared" si="62"/>
        <v>0</v>
      </c>
      <c r="W140" s="61">
        <f t="shared" si="70"/>
        <v>0</v>
      </c>
      <c r="X140" s="61">
        <f t="shared" si="49"/>
        <v>0</v>
      </c>
      <c r="Y140" s="61">
        <f t="shared" si="55"/>
        <v>0</v>
      </c>
      <c r="Z140" s="61">
        <v>-1</v>
      </c>
      <c r="AA140" s="61" t="s">
        <v>0</v>
      </c>
      <c r="AB140" s="62" t="str">
        <f t="shared" ref="AB140" si="79">AB110</f>
        <v xml:space="preserve">Evap/CC - Evaporatively-cooled condensers                           </v>
      </c>
    </row>
    <row r="141" spans="1:30" x14ac:dyDescent="0.25">
      <c r="A141" t="s">
        <v>0</v>
      </c>
      <c r="C141" s="61">
        <f t="shared" si="52"/>
        <v>2013</v>
      </c>
      <c r="D141" s="6">
        <f t="shared" si="53"/>
        <v>2015</v>
      </c>
      <c r="E141" s="24" t="s">
        <v>187</v>
      </c>
      <c r="F141" s="52">
        <v>0</v>
      </c>
      <c r="G141" s="66" t="s">
        <v>733</v>
      </c>
      <c r="H141" s="66" t="s">
        <v>733</v>
      </c>
      <c r="I141" s="11">
        <v>0</v>
      </c>
      <c r="J141" s="66" t="s">
        <v>734</v>
      </c>
      <c r="K141" s="66" t="s">
        <v>734</v>
      </c>
      <c r="L141" s="66" t="s">
        <v>712</v>
      </c>
      <c r="M141" s="66" t="s">
        <v>188</v>
      </c>
      <c r="N141" s="66" t="s">
        <v>189</v>
      </c>
      <c r="O141" s="72">
        <f t="shared" ref="O141:Q141" si="80">O111</f>
        <v>0</v>
      </c>
      <c r="P141" s="61">
        <f t="shared" si="80"/>
        <v>1</v>
      </c>
      <c r="Q141" s="61">
        <f t="shared" si="80"/>
        <v>0</v>
      </c>
      <c r="R141" s="61">
        <f t="shared" si="57"/>
        <v>1</v>
      </c>
      <c r="S141" s="92">
        <f t="shared" si="57"/>
        <v>0</v>
      </c>
      <c r="T141" s="75" t="str">
        <f t="shared" si="57"/>
        <v>N/A</v>
      </c>
      <c r="U141" s="72">
        <f t="shared" si="57"/>
        <v>0</v>
      </c>
      <c r="V141" s="61">
        <f t="shared" si="62"/>
        <v>0</v>
      </c>
      <c r="W141" s="61">
        <f t="shared" si="70"/>
        <v>0</v>
      </c>
      <c r="X141" s="61">
        <f t="shared" si="49"/>
        <v>0</v>
      </c>
      <c r="Y141" s="61">
        <f t="shared" si="55"/>
        <v>0</v>
      </c>
      <c r="Z141" s="61">
        <v>-1</v>
      </c>
      <c r="AA141" s="61" t="s">
        <v>0</v>
      </c>
      <c r="AB141" s="62" t="str">
        <f t="shared" ref="AB141" si="81">AB111</f>
        <v xml:space="preserve">IceSAC - Ice storage air conditioning system                        </v>
      </c>
    </row>
    <row r="142" spans="1:30" ht="6.75" customHeight="1" x14ac:dyDescent="0.25">
      <c r="A142" t="s">
        <v>0</v>
      </c>
      <c r="D142" s="57"/>
      <c r="E142" s="58"/>
      <c r="F142" s="57"/>
      <c r="G142" s="57"/>
      <c r="H142" s="57"/>
      <c r="I142" s="57"/>
      <c r="J142" s="57"/>
      <c r="K142" s="57"/>
      <c r="L142" s="57"/>
      <c r="M142" s="59"/>
      <c r="N142" s="59"/>
      <c r="O142" s="59"/>
      <c r="P142" s="59"/>
      <c r="Q142" s="59"/>
      <c r="R142" s="59"/>
      <c r="S142" s="59"/>
      <c r="T142" s="58"/>
      <c r="U142" s="58"/>
      <c r="V142" s="58"/>
      <c r="W142" s="58"/>
      <c r="X142" s="58"/>
      <c r="Y142" s="58"/>
      <c r="Z142" s="58"/>
    </row>
    <row r="143" spans="1:30" x14ac:dyDescent="0.25">
      <c r="A143" t="s">
        <v>434</v>
      </c>
      <c r="E143" s="126"/>
      <c r="F143" s="126"/>
      <c r="G143" s="126"/>
      <c r="H143" s="126"/>
      <c r="I143" s="126"/>
      <c r="J143" s="126"/>
      <c r="K143" s="126"/>
      <c r="L143" s="126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  <c r="AB143" s="127"/>
      <c r="AC143" s="127"/>
    </row>
    <row r="144" spans="1:30" x14ac:dyDescent="0.25">
      <c r="C144" s="60">
        <v>2008</v>
      </c>
      <c r="D144" s="60">
        <v>2010</v>
      </c>
      <c r="E144" t="s">
        <v>173</v>
      </c>
      <c r="F144" s="68" t="s">
        <v>154</v>
      </c>
      <c r="G144" s="66" t="s">
        <v>733</v>
      </c>
      <c r="H144" s="66" t="s">
        <v>733</v>
      </c>
      <c r="I144" s="66" t="s">
        <v>155</v>
      </c>
      <c r="J144" s="66" t="s">
        <v>734</v>
      </c>
      <c r="K144" s="66" t="s">
        <v>734</v>
      </c>
      <c r="L144" s="66" t="s">
        <v>712</v>
      </c>
      <c r="M144" s="66" t="s">
        <v>188</v>
      </c>
      <c r="N144" s="66" t="s">
        <v>189</v>
      </c>
      <c r="O144" s="70">
        <v>1</v>
      </c>
      <c r="P144" s="48">
        <v>-1</v>
      </c>
      <c r="Q144" s="48">
        <v>0</v>
      </c>
      <c r="R144" s="48">
        <v>0</v>
      </c>
      <c r="S144" s="92">
        <v>0</v>
      </c>
      <c r="T144" s="97" t="s">
        <v>174</v>
      </c>
      <c r="U144" s="70">
        <f>IF(AND(ISNUMBER(F144), F144&gt;0), 1, 0)</f>
        <v>0</v>
      </c>
      <c r="V144" s="48">
        <f>IF(AND(ISNUMBER(G144), G144&gt;0), 1, 0)</f>
        <v>0</v>
      </c>
      <c r="W144" s="48">
        <f>IF(AND(ISNUMBER(I144), I144&gt;0), 1, 0)</f>
        <v>0</v>
      </c>
      <c r="X144" s="61">
        <f>IF(AND(ISNUMBER(J144), J144&gt;0), 1, 0)</f>
        <v>0</v>
      </c>
      <c r="Y144" s="61">
        <f t="shared" ref="Y144:Y172" si="82">IF(AND(ISNUMBER(L144), L144&gt;0), 1, 0)</f>
        <v>0</v>
      </c>
      <c r="Z144" s="61">
        <v>-1</v>
      </c>
      <c r="AA144" s="61" t="s">
        <v>0</v>
      </c>
      <c r="AB144" t="s">
        <v>115</v>
      </c>
    </row>
    <row r="145" spans="1:30" x14ac:dyDescent="0.25">
      <c r="C145" s="61">
        <f>C144</f>
        <v>2008</v>
      </c>
      <c r="D145" s="6">
        <f>D144</f>
        <v>2010</v>
      </c>
      <c r="E145" t="s">
        <v>174</v>
      </c>
      <c r="F145" s="51">
        <v>13</v>
      </c>
      <c r="G145" s="66" t="s">
        <v>733</v>
      </c>
      <c r="H145" s="66" t="s">
        <v>733</v>
      </c>
      <c r="I145" s="11">
        <v>11.3</v>
      </c>
      <c r="J145" s="66" t="s">
        <v>734</v>
      </c>
      <c r="K145" s="66" t="s">
        <v>734</v>
      </c>
      <c r="L145" s="66" t="s">
        <v>712</v>
      </c>
      <c r="M145" s="66" t="s">
        <v>188</v>
      </c>
      <c r="N145" s="66" t="s">
        <v>189</v>
      </c>
      <c r="O145" s="70">
        <v>1</v>
      </c>
      <c r="P145" s="48">
        <v>1</v>
      </c>
      <c r="Q145" s="48">
        <v>0</v>
      </c>
      <c r="R145" s="48">
        <v>1</v>
      </c>
      <c r="S145" s="92">
        <v>0</v>
      </c>
      <c r="T145" s="97" t="s">
        <v>174</v>
      </c>
      <c r="U145" s="70">
        <f t="shared" ref="U145:U169" si="83">IF(AND(ISNUMBER(F145), F145&gt;0), 1, 0)</f>
        <v>1</v>
      </c>
      <c r="V145" s="48">
        <f t="shared" ref="V145:V172" si="84">IF(AND(ISNUMBER(G145), G145&gt;0), 1, 0)</f>
        <v>0</v>
      </c>
      <c r="W145" s="48">
        <f t="shared" ref="W145:W147" si="85">IF(AND(ISNUMBER(I145), I145&gt;0), 1, 0)</f>
        <v>1</v>
      </c>
      <c r="X145" s="61">
        <f t="shared" ref="X145:X172" si="86">IF(AND(ISNUMBER(J145), J145&gt;0), 1, 0)</f>
        <v>0</v>
      </c>
      <c r="Y145" s="61">
        <f t="shared" si="82"/>
        <v>0</v>
      </c>
      <c r="Z145" s="61">
        <v>-1</v>
      </c>
      <c r="AA145" s="61" t="s">
        <v>0</v>
      </c>
      <c r="AB145" t="s">
        <v>116</v>
      </c>
    </row>
    <row r="146" spans="1:30" x14ac:dyDescent="0.25">
      <c r="C146" s="61">
        <f t="shared" ref="C146:C172" si="87">C145</f>
        <v>2008</v>
      </c>
      <c r="D146" s="6">
        <f t="shared" ref="D146:D172" si="88">D145</f>
        <v>2010</v>
      </c>
      <c r="E146" t="s">
        <v>175</v>
      </c>
      <c r="F146" s="51">
        <v>13</v>
      </c>
      <c r="G146" s="66" t="s">
        <v>733</v>
      </c>
      <c r="H146" s="66" t="s">
        <v>733</v>
      </c>
      <c r="I146" s="11">
        <v>11.3</v>
      </c>
      <c r="J146" s="66" t="s">
        <v>734</v>
      </c>
      <c r="K146" s="66" t="s">
        <v>734</v>
      </c>
      <c r="L146" s="66" t="s">
        <v>712</v>
      </c>
      <c r="M146" s="66" t="s">
        <v>188</v>
      </c>
      <c r="N146" s="66" t="s">
        <v>189</v>
      </c>
      <c r="O146" s="70">
        <v>1</v>
      </c>
      <c r="P146" s="48">
        <v>1</v>
      </c>
      <c r="Q146" s="48">
        <v>0</v>
      </c>
      <c r="R146" s="48">
        <v>1</v>
      </c>
      <c r="S146" s="92">
        <v>0</v>
      </c>
      <c r="T146" s="97" t="s">
        <v>174</v>
      </c>
      <c r="U146" s="70">
        <f t="shared" si="83"/>
        <v>1</v>
      </c>
      <c r="V146" s="48">
        <f t="shared" si="84"/>
        <v>0</v>
      </c>
      <c r="W146" s="48">
        <f t="shared" si="85"/>
        <v>1</v>
      </c>
      <c r="X146" s="61">
        <f t="shared" si="86"/>
        <v>0</v>
      </c>
      <c r="Y146" s="61">
        <f t="shared" si="82"/>
        <v>0</v>
      </c>
      <c r="Z146" s="61">
        <v>-1</v>
      </c>
      <c r="AA146" s="61" t="s">
        <v>0</v>
      </c>
      <c r="AB146" t="s">
        <v>117</v>
      </c>
    </row>
    <row r="147" spans="1:30" x14ac:dyDescent="0.25">
      <c r="C147" s="61">
        <f t="shared" si="87"/>
        <v>2008</v>
      </c>
      <c r="D147" s="6">
        <f t="shared" si="88"/>
        <v>2010</v>
      </c>
      <c r="E147" t="s">
        <v>176</v>
      </c>
      <c r="F147" s="51">
        <v>13</v>
      </c>
      <c r="G147" s="66" t="s">
        <v>733</v>
      </c>
      <c r="H147" s="66" t="s">
        <v>733</v>
      </c>
      <c r="I147" s="11">
        <v>11.3</v>
      </c>
      <c r="J147" s="66" t="s">
        <v>734</v>
      </c>
      <c r="K147" s="66" t="s">
        <v>734</v>
      </c>
      <c r="L147" s="66" t="s">
        <v>712</v>
      </c>
      <c r="M147" s="66" t="s">
        <v>188</v>
      </c>
      <c r="N147" s="66" t="s">
        <v>189</v>
      </c>
      <c r="O147" s="70">
        <v>0</v>
      </c>
      <c r="P147" s="48">
        <v>1</v>
      </c>
      <c r="Q147" s="48">
        <v>0</v>
      </c>
      <c r="R147" s="48">
        <v>1</v>
      </c>
      <c r="S147" s="92">
        <v>0</v>
      </c>
      <c r="T147" s="97" t="s">
        <v>174</v>
      </c>
      <c r="U147" s="70">
        <f t="shared" si="83"/>
        <v>1</v>
      </c>
      <c r="V147" s="48">
        <f t="shared" si="84"/>
        <v>0</v>
      </c>
      <c r="W147" s="48">
        <f t="shared" si="85"/>
        <v>1</v>
      </c>
      <c r="X147" s="61">
        <f t="shared" si="86"/>
        <v>0</v>
      </c>
      <c r="Y147" s="61">
        <f t="shared" si="82"/>
        <v>0</v>
      </c>
      <c r="Z147" s="61">
        <v>-1</v>
      </c>
      <c r="AA147" s="61" t="s">
        <v>0</v>
      </c>
      <c r="AB147" t="s">
        <v>118</v>
      </c>
    </row>
    <row r="148" spans="1:30" x14ac:dyDescent="0.25">
      <c r="C148" s="61">
        <f t="shared" si="87"/>
        <v>2008</v>
      </c>
      <c r="D148" s="6">
        <f t="shared" si="88"/>
        <v>2010</v>
      </c>
      <c r="E148" t="s">
        <v>515</v>
      </c>
      <c r="F148" s="51">
        <v>13</v>
      </c>
      <c r="G148" s="66" t="s">
        <v>733</v>
      </c>
      <c r="H148" s="66" t="s">
        <v>733</v>
      </c>
      <c r="I148" s="11">
        <v>11.3</v>
      </c>
      <c r="J148" s="66" t="s">
        <v>734</v>
      </c>
      <c r="K148" s="66" t="s">
        <v>734</v>
      </c>
      <c r="L148" s="66" t="s">
        <v>712</v>
      </c>
      <c r="M148" s="66" t="s">
        <v>188</v>
      </c>
      <c r="N148" s="66" t="s">
        <v>189</v>
      </c>
      <c r="O148" s="70">
        <v>1</v>
      </c>
      <c r="P148" s="48">
        <v>1</v>
      </c>
      <c r="Q148" s="48">
        <v>0</v>
      </c>
      <c r="R148" s="48">
        <v>1</v>
      </c>
      <c r="S148" s="92">
        <v>0</v>
      </c>
      <c r="T148" s="97" t="s">
        <v>174</v>
      </c>
      <c r="U148" s="70">
        <f t="shared" ref="U148" si="89">IF(AND(ISNUMBER(F148), F148&gt;0), 1, 0)</f>
        <v>1</v>
      </c>
      <c r="V148" s="48">
        <f t="shared" si="84"/>
        <v>0</v>
      </c>
      <c r="W148" s="48">
        <f t="shared" ref="W148" si="90">IF(AND(ISNUMBER(I148), I148&gt;0), 1, 0)</f>
        <v>1</v>
      </c>
      <c r="X148" s="61">
        <f t="shared" si="86"/>
        <v>0</v>
      </c>
      <c r="Y148" s="61">
        <f t="shared" si="82"/>
        <v>0</v>
      </c>
      <c r="Z148" s="61">
        <v>-1</v>
      </c>
      <c r="AA148" s="61" t="s">
        <v>0</v>
      </c>
      <c r="AB148" t="s">
        <v>516</v>
      </c>
    </row>
    <row r="149" spans="1:30" x14ac:dyDescent="0.25">
      <c r="C149" s="61">
        <f t="shared" ref="C149:C162" si="91">C148</f>
        <v>2008</v>
      </c>
      <c r="D149" s="6">
        <f t="shared" si="88"/>
        <v>2010</v>
      </c>
      <c r="E149" t="s">
        <v>526</v>
      </c>
      <c r="F149" s="51">
        <v>13</v>
      </c>
      <c r="G149" s="66" t="s">
        <v>733</v>
      </c>
      <c r="H149" s="66" t="s">
        <v>733</v>
      </c>
      <c r="I149" s="11">
        <v>11.3</v>
      </c>
      <c r="J149" s="66" t="s">
        <v>734</v>
      </c>
      <c r="K149" s="66" t="s">
        <v>734</v>
      </c>
      <c r="L149" s="66" t="s">
        <v>712</v>
      </c>
      <c r="M149" s="66" t="s">
        <v>188</v>
      </c>
      <c r="N149" s="66" t="s">
        <v>189</v>
      </c>
      <c r="O149" s="70">
        <v>1</v>
      </c>
      <c r="P149" s="48">
        <v>0</v>
      </c>
      <c r="Q149" s="48">
        <v>0</v>
      </c>
      <c r="R149" s="48">
        <v>1</v>
      </c>
      <c r="S149" s="120">
        <v>1</v>
      </c>
      <c r="T149" s="100" t="s">
        <v>174</v>
      </c>
      <c r="U149" s="70">
        <f t="shared" si="83"/>
        <v>1</v>
      </c>
      <c r="V149" s="48">
        <f t="shared" si="84"/>
        <v>0</v>
      </c>
      <c r="W149" s="48">
        <f t="shared" ref="W149:W156" si="92">IF(AND(ISNUMBER(I149), I149&gt;0), 1, 0)</f>
        <v>1</v>
      </c>
      <c r="X149" s="61">
        <f t="shared" si="86"/>
        <v>0</v>
      </c>
      <c r="Y149" s="61">
        <f t="shared" si="82"/>
        <v>0</v>
      </c>
      <c r="Z149" s="61">
        <v>-1</v>
      </c>
      <c r="AA149" s="61" t="s">
        <v>0</v>
      </c>
      <c r="AB149" t="s">
        <v>528</v>
      </c>
      <c r="AD149" t="s">
        <v>525</v>
      </c>
    </row>
    <row r="150" spans="1:30" x14ac:dyDescent="0.25">
      <c r="C150" s="61">
        <f t="shared" si="91"/>
        <v>2008</v>
      </c>
      <c r="D150" s="6">
        <f t="shared" si="88"/>
        <v>2010</v>
      </c>
      <c r="E150" t="s">
        <v>527</v>
      </c>
      <c r="F150" s="51">
        <v>13</v>
      </c>
      <c r="G150" s="66" t="s">
        <v>733</v>
      </c>
      <c r="H150" s="66" t="s">
        <v>733</v>
      </c>
      <c r="I150" s="11">
        <v>11.3</v>
      </c>
      <c r="J150" s="66" t="s">
        <v>734</v>
      </c>
      <c r="K150" s="66" t="s">
        <v>734</v>
      </c>
      <c r="L150" s="66" t="s">
        <v>712</v>
      </c>
      <c r="M150" s="66" t="s">
        <v>188</v>
      </c>
      <c r="N150" s="66" t="s">
        <v>189</v>
      </c>
      <c r="O150" s="70">
        <v>1</v>
      </c>
      <c r="P150" s="48">
        <v>0</v>
      </c>
      <c r="Q150" s="48">
        <v>0</v>
      </c>
      <c r="R150" s="48">
        <v>1</v>
      </c>
      <c r="S150" s="120">
        <v>1</v>
      </c>
      <c r="T150" s="100" t="s">
        <v>174</v>
      </c>
      <c r="U150" s="70">
        <f t="shared" si="83"/>
        <v>1</v>
      </c>
      <c r="V150" s="48">
        <f t="shared" si="84"/>
        <v>0</v>
      </c>
      <c r="W150" s="48">
        <f t="shared" si="92"/>
        <v>1</v>
      </c>
      <c r="X150" s="61">
        <f t="shared" si="86"/>
        <v>0</v>
      </c>
      <c r="Y150" s="61">
        <f t="shared" si="82"/>
        <v>0</v>
      </c>
      <c r="Z150" s="61">
        <v>-1</v>
      </c>
      <c r="AA150" s="61" t="s">
        <v>0</v>
      </c>
      <c r="AB150" t="s">
        <v>533</v>
      </c>
      <c r="AD150" t="s">
        <v>534</v>
      </c>
    </row>
    <row r="151" spans="1:30" x14ac:dyDescent="0.25">
      <c r="C151" s="61">
        <f t="shared" si="91"/>
        <v>2008</v>
      </c>
      <c r="D151" s="6">
        <f t="shared" si="88"/>
        <v>2010</v>
      </c>
      <c r="E151" t="s">
        <v>523</v>
      </c>
      <c r="F151" s="51">
        <v>13</v>
      </c>
      <c r="G151" s="66" t="s">
        <v>733</v>
      </c>
      <c r="H151" s="66" t="s">
        <v>733</v>
      </c>
      <c r="I151" s="11">
        <v>11.3</v>
      </c>
      <c r="J151" s="66" t="s">
        <v>734</v>
      </c>
      <c r="K151" s="66" t="s">
        <v>734</v>
      </c>
      <c r="L151" s="66" t="s">
        <v>712</v>
      </c>
      <c r="M151" s="66" t="s">
        <v>188</v>
      </c>
      <c r="N151" s="66" t="s">
        <v>189</v>
      </c>
      <c r="O151" s="70">
        <v>1</v>
      </c>
      <c r="P151" s="48">
        <v>0</v>
      </c>
      <c r="Q151" s="48">
        <v>0</v>
      </c>
      <c r="R151" s="48">
        <v>1</v>
      </c>
      <c r="S151" s="120">
        <v>1</v>
      </c>
      <c r="T151" s="100" t="s">
        <v>174</v>
      </c>
      <c r="U151" s="70">
        <f t="shared" si="83"/>
        <v>1</v>
      </c>
      <c r="V151" s="48">
        <f t="shared" si="84"/>
        <v>0</v>
      </c>
      <c r="W151" s="48">
        <f t="shared" si="92"/>
        <v>1</v>
      </c>
      <c r="X151" s="61">
        <f t="shared" si="86"/>
        <v>0</v>
      </c>
      <c r="Y151" s="61">
        <f t="shared" si="82"/>
        <v>0</v>
      </c>
      <c r="Z151" s="61">
        <v>-1</v>
      </c>
      <c r="AA151" s="61" t="s">
        <v>0</v>
      </c>
      <c r="AB151" t="s">
        <v>536</v>
      </c>
      <c r="AD151" t="s">
        <v>534</v>
      </c>
    </row>
    <row r="152" spans="1:30" x14ac:dyDescent="0.25">
      <c r="C152" s="61">
        <f t="shared" si="91"/>
        <v>2008</v>
      </c>
      <c r="D152" s="6">
        <f t="shared" si="88"/>
        <v>2010</v>
      </c>
      <c r="E152" t="s">
        <v>177</v>
      </c>
      <c r="F152" s="67" t="s">
        <v>154</v>
      </c>
      <c r="G152" s="66" t="s">
        <v>733</v>
      </c>
      <c r="H152" s="66" t="s">
        <v>733</v>
      </c>
      <c r="I152" s="11">
        <v>8.5</v>
      </c>
      <c r="J152" s="66" t="s">
        <v>734</v>
      </c>
      <c r="K152" s="66" t="s">
        <v>734</v>
      </c>
      <c r="L152" s="66" t="s">
        <v>712</v>
      </c>
      <c r="M152" s="66" t="s">
        <v>188</v>
      </c>
      <c r="N152" s="66" t="s">
        <v>189</v>
      </c>
      <c r="O152" s="71">
        <v>1</v>
      </c>
      <c r="P152" s="49">
        <v>0</v>
      </c>
      <c r="Q152" s="49">
        <v>0</v>
      </c>
      <c r="R152" s="49">
        <v>0</v>
      </c>
      <c r="S152" s="120">
        <v>1</v>
      </c>
      <c r="T152" s="99" t="s">
        <v>174</v>
      </c>
      <c r="U152" s="70">
        <f t="shared" si="83"/>
        <v>0</v>
      </c>
      <c r="V152" s="48">
        <f t="shared" si="84"/>
        <v>0</v>
      </c>
      <c r="W152" s="48">
        <f t="shared" si="92"/>
        <v>1</v>
      </c>
      <c r="X152" s="61">
        <f t="shared" si="86"/>
        <v>0</v>
      </c>
      <c r="Y152" s="61">
        <f t="shared" si="82"/>
        <v>0</v>
      </c>
      <c r="Z152" s="61">
        <v>-1</v>
      </c>
      <c r="AA152" s="61" t="s">
        <v>0</v>
      </c>
      <c r="AB152" t="s">
        <v>119</v>
      </c>
    </row>
    <row r="153" spans="1:30" x14ac:dyDescent="0.25">
      <c r="C153" s="61">
        <f t="shared" si="91"/>
        <v>2008</v>
      </c>
      <c r="D153" s="6">
        <f t="shared" si="88"/>
        <v>2010</v>
      </c>
      <c r="E153" t="s">
        <v>178</v>
      </c>
      <c r="F153" s="51">
        <v>13</v>
      </c>
      <c r="G153" s="66" t="s">
        <v>733</v>
      </c>
      <c r="H153" s="66" t="s">
        <v>733</v>
      </c>
      <c r="I153" s="11">
        <v>11.3</v>
      </c>
      <c r="J153" s="66" t="s">
        <v>734</v>
      </c>
      <c r="K153" s="66" t="s">
        <v>734</v>
      </c>
      <c r="L153" s="66" t="s">
        <v>712</v>
      </c>
      <c r="M153" s="66" t="s">
        <v>188</v>
      </c>
      <c r="N153" s="66" t="s">
        <v>189</v>
      </c>
      <c r="O153" s="70">
        <v>1</v>
      </c>
      <c r="P153" s="48">
        <v>1</v>
      </c>
      <c r="Q153" s="48">
        <v>1</v>
      </c>
      <c r="R153" s="48">
        <v>1</v>
      </c>
      <c r="S153" s="92">
        <v>0</v>
      </c>
      <c r="T153" s="97" t="s">
        <v>178</v>
      </c>
      <c r="U153" s="70">
        <f t="shared" si="83"/>
        <v>1</v>
      </c>
      <c r="V153" s="48">
        <f t="shared" si="84"/>
        <v>0</v>
      </c>
      <c r="W153" s="48">
        <f t="shared" si="92"/>
        <v>1</v>
      </c>
      <c r="X153" s="61">
        <f t="shared" si="86"/>
        <v>0</v>
      </c>
      <c r="Y153" s="61">
        <f t="shared" si="82"/>
        <v>0</v>
      </c>
      <c r="Z153" s="61">
        <v>-1</v>
      </c>
      <c r="AA153" s="61" t="s">
        <v>0</v>
      </c>
      <c r="AB153" t="s">
        <v>120</v>
      </c>
    </row>
    <row r="154" spans="1:30" x14ac:dyDescent="0.25">
      <c r="C154" s="61">
        <f t="shared" si="91"/>
        <v>2008</v>
      </c>
      <c r="D154" s="6">
        <f t="shared" si="88"/>
        <v>2010</v>
      </c>
      <c r="E154" t="s">
        <v>179</v>
      </c>
      <c r="F154" s="51">
        <v>13</v>
      </c>
      <c r="G154" s="66" t="s">
        <v>733</v>
      </c>
      <c r="H154" s="66" t="s">
        <v>733</v>
      </c>
      <c r="I154" s="66" t="s">
        <v>155</v>
      </c>
      <c r="J154" s="66" t="s">
        <v>734</v>
      </c>
      <c r="K154" s="66" t="s">
        <v>734</v>
      </c>
      <c r="L154" s="66" t="s">
        <v>712</v>
      </c>
      <c r="M154" s="66" t="s">
        <v>188</v>
      </c>
      <c r="N154" s="66" t="s">
        <v>189</v>
      </c>
      <c r="O154" s="71">
        <v>1</v>
      </c>
      <c r="P154" s="48">
        <v>1</v>
      </c>
      <c r="Q154" s="48">
        <v>1</v>
      </c>
      <c r="R154" s="48">
        <v>1</v>
      </c>
      <c r="S154" s="92">
        <v>0</v>
      </c>
      <c r="T154" s="97" t="s">
        <v>178</v>
      </c>
      <c r="U154" s="70">
        <f t="shared" si="83"/>
        <v>1</v>
      </c>
      <c r="V154" s="48">
        <f t="shared" si="84"/>
        <v>0</v>
      </c>
      <c r="W154" s="48">
        <f t="shared" si="92"/>
        <v>0</v>
      </c>
      <c r="X154" s="61">
        <f t="shared" si="86"/>
        <v>0</v>
      </c>
      <c r="Y154" s="61">
        <f t="shared" si="82"/>
        <v>0</v>
      </c>
      <c r="Z154" s="61">
        <v>-1</v>
      </c>
      <c r="AA154" s="61" t="s">
        <v>0</v>
      </c>
      <c r="AB154" t="s">
        <v>121</v>
      </c>
    </row>
    <row r="155" spans="1:30" x14ac:dyDescent="0.25">
      <c r="C155" s="61">
        <f t="shared" si="91"/>
        <v>2008</v>
      </c>
      <c r="D155" s="6">
        <f t="shared" si="88"/>
        <v>2010</v>
      </c>
      <c r="E155" t="s">
        <v>180</v>
      </c>
      <c r="F155" s="67" t="s">
        <v>154</v>
      </c>
      <c r="G155" s="66" t="s">
        <v>733</v>
      </c>
      <c r="H155" s="66" t="s">
        <v>733</v>
      </c>
      <c r="I155" s="11">
        <v>0</v>
      </c>
      <c r="J155" s="66" t="s">
        <v>734</v>
      </c>
      <c r="K155" s="66" t="s">
        <v>734</v>
      </c>
      <c r="L155" s="66" t="s">
        <v>712</v>
      </c>
      <c r="M155" s="66" t="s">
        <v>188</v>
      </c>
      <c r="N155" s="66" t="s">
        <v>189</v>
      </c>
      <c r="O155" s="71">
        <v>0</v>
      </c>
      <c r="P155" s="48">
        <v>1</v>
      </c>
      <c r="Q155" s="48">
        <v>1</v>
      </c>
      <c r="R155" s="48">
        <v>1</v>
      </c>
      <c r="S155" s="92">
        <v>0</v>
      </c>
      <c r="T155" s="97" t="s">
        <v>178</v>
      </c>
      <c r="U155" s="70">
        <f t="shared" si="83"/>
        <v>0</v>
      </c>
      <c r="V155" s="48">
        <f t="shared" si="84"/>
        <v>0</v>
      </c>
      <c r="W155" s="48">
        <f t="shared" si="92"/>
        <v>0</v>
      </c>
      <c r="X155" s="61">
        <f t="shared" si="86"/>
        <v>0</v>
      </c>
      <c r="Y155" s="61">
        <f t="shared" si="82"/>
        <v>0</v>
      </c>
      <c r="Z155" s="61">
        <v>-1</v>
      </c>
      <c r="AA155" s="61" t="s">
        <v>0</v>
      </c>
      <c r="AB155" t="s">
        <v>122</v>
      </c>
    </row>
    <row r="156" spans="1:30" x14ac:dyDescent="0.25">
      <c r="A156" t="s">
        <v>0</v>
      </c>
      <c r="C156" s="61">
        <f t="shared" si="91"/>
        <v>2008</v>
      </c>
      <c r="D156" s="6">
        <f t="shared" si="88"/>
        <v>2010</v>
      </c>
      <c r="E156" s="24" t="s">
        <v>181</v>
      </c>
      <c r="F156" s="67" t="s">
        <v>154</v>
      </c>
      <c r="G156" s="66" t="s">
        <v>733</v>
      </c>
      <c r="H156" s="66" t="s">
        <v>733</v>
      </c>
      <c r="I156" s="66" t="s">
        <v>155</v>
      </c>
      <c r="J156" s="66" t="s">
        <v>734</v>
      </c>
      <c r="K156" s="66" t="s">
        <v>734</v>
      </c>
      <c r="L156" s="66" t="s">
        <v>712</v>
      </c>
      <c r="M156" s="11">
        <v>0</v>
      </c>
      <c r="N156" s="11">
        <v>0</v>
      </c>
      <c r="O156" s="71">
        <v>0</v>
      </c>
      <c r="P156" s="53">
        <v>1</v>
      </c>
      <c r="Q156" s="48">
        <v>0</v>
      </c>
      <c r="R156" s="48">
        <v>1</v>
      </c>
      <c r="S156" s="92">
        <v>0</v>
      </c>
      <c r="T156" s="98" t="s">
        <v>227</v>
      </c>
      <c r="U156" s="70">
        <f t="shared" si="83"/>
        <v>0</v>
      </c>
      <c r="V156" s="48">
        <f t="shared" si="84"/>
        <v>0</v>
      </c>
      <c r="W156" s="48">
        <f t="shared" si="92"/>
        <v>0</v>
      </c>
      <c r="X156" s="61">
        <f t="shared" si="86"/>
        <v>0</v>
      </c>
      <c r="Y156" s="61">
        <f t="shared" si="82"/>
        <v>0</v>
      </c>
      <c r="Z156" s="61">
        <v>-1</v>
      </c>
      <c r="AA156" s="61" t="s">
        <v>0</v>
      </c>
      <c r="AB156" t="s">
        <v>123</v>
      </c>
      <c r="AD156" s="119" t="s">
        <v>363</v>
      </c>
    </row>
    <row r="157" spans="1:30" x14ac:dyDescent="0.25">
      <c r="C157" s="61">
        <f t="shared" si="91"/>
        <v>2008</v>
      </c>
      <c r="D157" s="6">
        <f t="shared" si="88"/>
        <v>2010</v>
      </c>
      <c r="E157" t="s">
        <v>511</v>
      </c>
      <c r="F157" s="51">
        <v>13</v>
      </c>
      <c r="G157" s="66" t="s">
        <v>733</v>
      </c>
      <c r="H157" s="66" t="s">
        <v>733</v>
      </c>
      <c r="I157" s="11">
        <v>11.3</v>
      </c>
      <c r="J157" s="66" t="s">
        <v>734</v>
      </c>
      <c r="K157" s="66" t="s">
        <v>734</v>
      </c>
      <c r="L157" s="66" t="s">
        <v>712</v>
      </c>
      <c r="M157" s="66" t="s">
        <v>188</v>
      </c>
      <c r="N157" s="66" t="s">
        <v>189</v>
      </c>
      <c r="O157" s="70">
        <v>1</v>
      </c>
      <c r="P157" s="48">
        <v>1</v>
      </c>
      <c r="Q157" s="48">
        <v>1</v>
      </c>
      <c r="R157" s="48">
        <v>1</v>
      </c>
      <c r="S157" s="92">
        <v>0</v>
      </c>
      <c r="T157" s="97" t="s">
        <v>178</v>
      </c>
      <c r="U157" s="70">
        <f t="shared" ref="U157" si="93">IF(AND(ISNUMBER(F157), F157&gt;0), 1, 0)</f>
        <v>1</v>
      </c>
      <c r="V157" s="48">
        <f t="shared" si="84"/>
        <v>0</v>
      </c>
      <c r="W157" s="48">
        <f t="shared" ref="W157" si="94">IF(AND(ISNUMBER(I157), I157&gt;0), 1, 0)</f>
        <v>1</v>
      </c>
      <c r="X157" s="61">
        <f t="shared" si="86"/>
        <v>0</v>
      </c>
      <c r="Y157" s="61">
        <f t="shared" si="82"/>
        <v>0</v>
      </c>
      <c r="Z157" s="61">
        <v>-1</v>
      </c>
      <c r="AA157" s="61" t="s">
        <v>0</v>
      </c>
      <c r="AB157" t="s">
        <v>517</v>
      </c>
    </row>
    <row r="158" spans="1:30" x14ac:dyDescent="0.25">
      <c r="C158" s="61">
        <f t="shared" si="91"/>
        <v>2008</v>
      </c>
      <c r="D158" s="6">
        <f t="shared" si="88"/>
        <v>2010</v>
      </c>
      <c r="E158" t="s">
        <v>530</v>
      </c>
      <c r="F158" s="63">
        <v>13</v>
      </c>
      <c r="G158" s="66" t="s">
        <v>733</v>
      </c>
      <c r="H158" s="66" t="s">
        <v>733</v>
      </c>
      <c r="I158" s="11">
        <v>11.3</v>
      </c>
      <c r="J158" s="66" t="s">
        <v>734</v>
      </c>
      <c r="K158" s="66" t="s">
        <v>734</v>
      </c>
      <c r="L158" s="66" t="s">
        <v>712</v>
      </c>
      <c r="M158" s="66" t="s">
        <v>188</v>
      </c>
      <c r="N158" s="66" t="s">
        <v>189</v>
      </c>
      <c r="O158" s="71">
        <v>1</v>
      </c>
      <c r="P158" s="48">
        <v>0</v>
      </c>
      <c r="Q158" s="48">
        <v>1</v>
      </c>
      <c r="R158" s="48">
        <v>1</v>
      </c>
      <c r="S158" s="120">
        <v>1</v>
      </c>
      <c r="T158" s="100" t="s">
        <v>178</v>
      </c>
      <c r="U158" s="70">
        <f t="shared" si="83"/>
        <v>1</v>
      </c>
      <c r="V158" s="48">
        <f t="shared" si="84"/>
        <v>0</v>
      </c>
      <c r="W158" s="48">
        <f t="shared" ref="W158:W164" si="95">IF(AND(ISNUMBER(I158), I158&gt;0), 1, 0)</f>
        <v>1</v>
      </c>
      <c r="X158" s="61">
        <f t="shared" si="86"/>
        <v>0</v>
      </c>
      <c r="Y158" s="61">
        <f t="shared" si="82"/>
        <v>0</v>
      </c>
      <c r="Z158" s="61">
        <v>-1</v>
      </c>
      <c r="AA158" s="61" t="s">
        <v>0</v>
      </c>
      <c r="AB158" t="s">
        <v>529</v>
      </c>
      <c r="AD158" t="s">
        <v>525</v>
      </c>
    </row>
    <row r="159" spans="1:30" x14ac:dyDescent="0.25">
      <c r="C159" s="61">
        <f t="shared" si="91"/>
        <v>2008</v>
      </c>
      <c r="D159" s="6">
        <f t="shared" si="88"/>
        <v>2010</v>
      </c>
      <c r="E159" t="s">
        <v>531</v>
      </c>
      <c r="F159" s="63">
        <v>13</v>
      </c>
      <c r="G159" s="66" t="s">
        <v>733</v>
      </c>
      <c r="H159" s="66" t="s">
        <v>733</v>
      </c>
      <c r="I159" s="11">
        <v>11.3</v>
      </c>
      <c r="J159" s="66" t="s">
        <v>734</v>
      </c>
      <c r="K159" s="66" t="s">
        <v>734</v>
      </c>
      <c r="L159" s="66" t="s">
        <v>712</v>
      </c>
      <c r="M159" s="66" t="s">
        <v>188</v>
      </c>
      <c r="N159" s="66" t="s">
        <v>189</v>
      </c>
      <c r="O159" s="71">
        <v>1</v>
      </c>
      <c r="P159" s="48">
        <v>0</v>
      </c>
      <c r="Q159" s="48">
        <v>1</v>
      </c>
      <c r="R159" s="48">
        <v>1</v>
      </c>
      <c r="S159" s="120">
        <v>1</v>
      </c>
      <c r="T159" s="100" t="s">
        <v>178</v>
      </c>
      <c r="U159" s="70">
        <f t="shared" si="83"/>
        <v>1</v>
      </c>
      <c r="V159" s="48">
        <f t="shared" si="84"/>
        <v>0</v>
      </c>
      <c r="W159" s="48">
        <f t="shared" si="95"/>
        <v>1</v>
      </c>
      <c r="X159" s="61">
        <f t="shared" si="86"/>
        <v>0</v>
      </c>
      <c r="Y159" s="61">
        <f t="shared" si="82"/>
        <v>0</v>
      </c>
      <c r="Z159" s="61">
        <v>-1</v>
      </c>
      <c r="AA159" s="61" t="s">
        <v>0</v>
      </c>
      <c r="AB159" t="s">
        <v>532</v>
      </c>
      <c r="AD159" t="s">
        <v>534</v>
      </c>
    </row>
    <row r="160" spans="1:30" x14ac:dyDescent="0.25">
      <c r="C160" s="61">
        <f t="shared" si="91"/>
        <v>2008</v>
      </c>
      <c r="D160" s="6">
        <f t="shared" si="88"/>
        <v>2010</v>
      </c>
      <c r="E160" t="s">
        <v>520</v>
      </c>
      <c r="F160" s="63">
        <v>13</v>
      </c>
      <c r="G160" s="66" t="s">
        <v>733</v>
      </c>
      <c r="H160" s="66" t="s">
        <v>733</v>
      </c>
      <c r="I160" s="11">
        <v>11.3</v>
      </c>
      <c r="J160" s="66" t="s">
        <v>734</v>
      </c>
      <c r="K160" s="66" t="s">
        <v>734</v>
      </c>
      <c r="L160" s="66" t="s">
        <v>712</v>
      </c>
      <c r="M160" s="66" t="s">
        <v>188</v>
      </c>
      <c r="N160" s="66" t="s">
        <v>189</v>
      </c>
      <c r="O160" s="71">
        <v>1</v>
      </c>
      <c r="P160" s="48">
        <v>0</v>
      </c>
      <c r="Q160" s="48">
        <v>1</v>
      </c>
      <c r="R160" s="48">
        <v>1</v>
      </c>
      <c r="S160" s="120">
        <v>1</v>
      </c>
      <c r="T160" s="100" t="s">
        <v>178</v>
      </c>
      <c r="U160" s="70">
        <f t="shared" si="83"/>
        <v>1</v>
      </c>
      <c r="V160" s="48">
        <f t="shared" si="84"/>
        <v>0</v>
      </c>
      <c r="W160" s="48">
        <f t="shared" si="95"/>
        <v>1</v>
      </c>
      <c r="X160" s="61">
        <f t="shared" si="86"/>
        <v>0</v>
      </c>
      <c r="Y160" s="61">
        <f t="shared" si="82"/>
        <v>0</v>
      </c>
      <c r="Z160" s="61">
        <v>-1</v>
      </c>
      <c r="AA160" s="61" t="s">
        <v>0</v>
      </c>
      <c r="AB160" t="s">
        <v>535</v>
      </c>
      <c r="AD160" t="s">
        <v>534</v>
      </c>
    </row>
    <row r="161" spans="1:33" x14ac:dyDescent="0.25">
      <c r="C161" s="61">
        <f t="shared" si="91"/>
        <v>2008</v>
      </c>
      <c r="D161" s="6">
        <f t="shared" si="88"/>
        <v>2010</v>
      </c>
      <c r="E161" t="s">
        <v>182</v>
      </c>
      <c r="F161" s="63">
        <v>12</v>
      </c>
      <c r="G161" s="66" t="s">
        <v>733</v>
      </c>
      <c r="H161" s="66" t="s">
        <v>733</v>
      </c>
      <c r="I161" s="11">
        <v>10</v>
      </c>
      <c r="J161" s="66" t="s">
        <v>734</v>
      </c>
      <c r="K161" s="66" t="s">
        <v>734</v>
      </c>
      <c r="L161" s="66" t="s">
        <v>712</v>
      </c>
      <c r="M161" s="66" t="s">
        <v>188</v>
      </c>
      <c r="N161" s="66" t="s">
        <v>189</v>
      </c>
      <c r="O161" s="71">
        <v>1</v>
      </c>
      <c r="P161" s="48">
        <v>0</v>
      </c>
      <c r="Q161" s="48">
        <v>1</v>
      </c>
      <c r="R161" s="48">
        <v>0</v>
      </c>
      <c r="S161" s="120">
        <v>1</v>
      </c>
      <c r="T161" s="100" t="s">
        <v>178</v>
      </c>
      <c r="U161" s="70">
        <f t="shared" si="83"/>
        <v>1</v>
      </c>
      <c r="V161" s="48">
        <f t="shared" si="84"/>
        <v>0</v>
      </c>
      <c r="W161" s="48">
        <f t="shared" si="95"/>
        <v>1</v>
      </c>
      <c r="X161" s="61">
        <f t="shared" si="86"/>
        <v>0</v>
      </c>
      <c r="Y161" s="61">
        <f t="shared" si="82"/>
        <v>0</v>
      </c>
      <c r="Z161" s="61">
        <v>-1</v>
      </c>
      <c r="AA161" s="61" t="s">
        <v>0</v>
      </c>
      <c r="AB161" t="s">
        <v>124</v>
      </c>
    </row>
    <row r="162" spans="1:33" x14ac:dyDescent="0.25">
      <c r="C162" s="61">
        <f t="shared" si="91"/>
        <v>2008</v>
      </c>
      <c r="D162" s="6">
        <f t="shared" si="88"/>
        <v>2010</v>
      </c>
      <c r="E162" t="s">
        <v>367</v>
      </c>
      <c r="F162" s="67" t="s">
        <v>154</v>
      </c>
      <c r="G162" s="66" t="s">
        <v>733</v>
      </c>
      <c r="H162" s="66" t="s">
        <v>733</v>
      </c>
      <c r="I162" s="11">
        <v>11.3</v>
      </c>
      <c r="J162" s="66" t="s">
        <v>734</v>
      </c>
      <c r="K162" s="66" t="s">
        <v>734</v>
      </c>
      <c r="L162" s="66" t="s">
        <v>712</v>
      </c>
      <c r="M162" s="66" t="s">
        <v>188</v>
      </c>
      <c r="N162" s="66" t="s">
        <v>189</v>
      </c>
      <c r="O162" s="70">
        <v>1</v>
      </c>
      <c r="P162" s="48">
        <v>-1</v>
      </c>
      <c r="Q162" s="48">
        <v>1</v>
      </c>
      <c r="R162" s="48">
        <v>1</v>
      </c>
      <c r="S162" s="120">
        <v>1</v>
      </c>
      <c r="T162" s="97" t="s">
        <v>178</v>
      </c>
      <c r="U162" s="70">
        <f t="shared" si="83"/>
        <v>0</v>
      </c>
      <c r="V162" s="48">
        <f t="shared" si="84"/>
        <v>0</v>
      </c>
      <c r="W162" s="48">
        <f t="shared" si="95"/>
        <v>1</v>
      </c>
      <c r="X162" s="61">
        <f t="shared" si="86"/>
        <v>0</v>
      </c>
      <c r="Y162" s="61">
        <f t="shared" si="82"/>
        <v>0</v>
      </c>
      <c r="Z162" s="61">
        <v>-1</v>
      </c>
      <c r="AA162" s="61" t="s">
        <v>0</v>
      </c>
      <c r="AB162" t="s">
        <v>368</v>
      </c>
    </row>
    <row r="163" spans="1:33" x14ac:dyDescent="0.25">
      <c r="C163" s="61">
        <f t="shared" si="87"/>
        <v>2008</v>
      </c>
      <c r="D163" s="6">
        <f t="shared" si="88"/>
        <v>2010</v>
      </c>
      <c r="E163" t="s">
        <v>366</v>
      </c>
      <c r="F163" s="67" t="s">
        <v>154</v>
      </c>
      <c r="G163" s="66" t="s">
        <v>733</v>
      </c>
      <c r="H163" s="66" t="s">
        <v>733</v>
      </c>
      <c r="I163" s="11">
        <v>11.3</v>
      </c>
      <c r="J163" s="66" t="s">
        <v>734</v>
      </c>
      <c r="K163" s="66" t="s">
        <v>734</v>
      </c>
      <c r="L163" s="66" t="s">
        <v>712</v>
      </c>
      <c r="M163" s="66" t="s">
        <v>188</v>
      </c>
      <c r="N163" s="66" t="s">
        <v>189</v>
      </c>
      <c r="O163" s="70">
        <v>1</v>
      </c>
      <c r="P163" s="48">
        <v>-1</v>
      </c>
      <c r="Q163" s="48">
        <v>1</v>
      </c>
      <c r="R163" s="48">
        <v>1</v>
      </c>
      <c r="S163" s="120">
        <v>1</v>
      </c>
      <c r="T163" s="97" t="s">
        <v>178</v>
      </c>
      <c r="U163" s="70">
        <f t="shared" si="83"/>
        <v>0</v>
      </c>
      <c r="V163" s="48">
        <f t="shared" si="84"/>
        <v>0</v>
      </c>
      <c r="W163" s="48">
        <f t="shared" si="95"/>
        <v>1</v>
      </c>
      <c r="X163" s="61">
        <f t="shared" si="86"/>
        <v>0</v>
      </c>
      <c r="Y163" s="61">
        <f t="shared" si="82"/>
        <v>0</v>
      </c>
      <c r="Z163" s="61">
        <v>-1</v>
      </c>
      <c r="AA163" s="61" t="s">
        <v>0</v>
      </c>
      <c r="AB163" t="s">
        <v>369</v>
      </c>
    </row>
    <row r="164" spans="1:33" x14ac:dyDescent="0.25">
      <c r="C164" s="61">
        <f t="shared" si="87"/>
        <v>2008</v>
      </c>
      <c r="D164" s="6">
        <f t="shared" si="88"/>
        <v>2010</v>
      </c>
      <c r="E164" t="s">
        <v>549</v>
      </c>
      <c r="F164" s="63">
        <v>13</v>
      </c>
      <c r="G164" s="66" t="s">
        <v>733</v>
      </c>
      <c r="H164" s="66" t="s">
        <v>733</v>
      </c>
      <c r="I164" s="11">
        <v>11.3</v>
      </c>
      <c r="J164" s="66" t="s">
        <v>734</v>
      </c>
      <c r="K164" s="66" t="s">
        <v>734</v>
      </c>
      <c r="L164" s="66" t="s">
        <v>712</v>
      </c>
      <c r="M164" s="66" t="s">
        <v>188</v>
      </c>
      <c r="N164" s="66" t="s">
        <v>189</v>
      </c>
      <c r="O164" s="70">
        <v>1</v>
      </c>
      <c r="P164" s="48">
        <v>-1</v>
      </c>
      <c r="Q164" s="48">
        <v>1</v>
      </c>
      <c r="R164" s="48">
        <v>0</v>
      </c>
      <c r="S164" s="92">
        <v>0</v>
      </c>
      <c r="T164" s="97" t="s">
        <v>178</v>
      </c>
      <c r="U164" s="70">
        <f t="shared" si="83"/>
        <v>1</v>
      </c>
      <c r="V164" s="48">
        <f t="shared" si="84"/>
        <v>0</v>
      </c>
      <c r="W164" s="48">
        <f t="shared" si="95"/>
        <v>1</v>
      </c>
      <c r="X164" s="61">
        <f t="shared" si="86"/>
        <v>0</v>
      </c>
      <c r="Y164" s="61">
        <f t="shared" si="82"/>
        <v>0</v>
      </c>
      <c r="Z164" s="61">
        <v>-1</v>
      </c>
      <c r="AA164" s="61" t="s">
        <v>0</v>
      </c>
      <c r="AB164" t="s">
        <v>550</v>
      </c>
      <c r="AD164" t="s">
        <v>551</v>
      </c>
    </row>
    <row r="165" spans="1:33" x14ac:dyDescent="0.25">
      <c r="C165" s="61">
        <f t="shared" si="87"/>
        <v>2008</v>
      </c>
      <c r="D165" s="6">
        <f t="shared" si="88"/>
        <v>2010</v>
      </c>
      <c r="E165" t="s">
        <v>728</v>
      </c>
      <c r="F165" s="63">
        <v>13</v>
      </c>
      <c r="G165" s="66" t="s">
        <v>733</v>
      </c>
      <c r="H165" s="66" t="s">
        <v>733</v>
      </c>
      <c r="I165" s="11">
        <v>11.3</v>
      </c>
      <c r="J165" s="66" t="s">
        <v>734</v>
      </c>
      <c r="K165" s="66" t="s">
        <v>734</v>
      </c>
      <c r="L165" s="66" t="s">
        <v>712</v>
      </c>
      <c r="M165" s="66" t="s">
        <v>188</v>
      </c>
      <c r="N165" s="66" t="s">
        <v>189</v>
      </c>
      <c r="O165" s="70">
        <v>1</v>
      </c>
      <c r="P165" s="48">
        <v>-1</v>
      </c>
      <c r="Q165" s="48">
        <v>1</v>
      </c>
      <c r="R165" s="48">
        <v>0</v>
      </c>
      <c r="S165" s="92">
        <v>0</v>
      </c>
      <c r="T165" s="97" t="s">
        <v>178</v>
      </c>
      <c r="U165" s="70">
        <f t="shared" ref="U165" si="96">IF(AND(ISNUMBER(F165), F165&gt;0), 1, 0)</f>
        <v>1</v>
      </c>
      <c r="V165" s="48">
        <f t="shared" si="84"/>
        <v>0</v>
      </c>
      <c r="W165" s="48">
        <f t="shared" ref="W165" si="97">IF(AND(ISNUMBER(I165), I165&gt;0), 1, 0)</f>
        <v>1</v>
      </c>
      <c r="X165" s="61">
        <f t="shared" si="86"/>
        <v>0</v>
      </c>
      <c r="Y165" s="61">
        <f t="shared" ref="Y165" si="98">IF(AND(ISNUMBER(L165), L165&gt;0), 1, 0)</f>
        <v>0</v>
      </c>
      <c r="Z165" s="61">
        <v>-1</v>
      </c>
      <c r="AA165" s="61" t="s">
        <v>0</v>
      </c>
      <c r="AB165" t="s">
        <v>729</v>
      </c>
      <c r="AD165" t="s">
        <v>551</v>
      </c>
    </row>
    <row r="166" spans="1:33" x14ac:dyDescent="0.25">
      <c r="C166" s="61">
        <f t="shared" si="87"/>
        <v>2008</v>
      </c>
      <c r="D166" s="6">
        <f t="shared" si="88"/>
        <v>2010</v>
      </c>
      <c r="E166" t="s">
        <v>1065</v>
      </c>
      <c r="F166" s="63">
        <v>13</v>
      </c>
      <c r="G166" s="66" t="s">
        <v>733</v>
      </c>
      <c r="H166" s="66" t="s">
        <v>733</v>
      </c>
      <c r="I166" s="11">
        <v>11.3</v>
      </c>
      <c r="J166" s="66" t="s">
        <v>734</v>
      </c>
      <c r="K166" s="66" t="s">
        <v>734</v>
      </c>
      <c r="L166" s="66" t="s">
        <v>712</v>
      </c>
      <c r="M166" s="66" t="s">
        <v>188</v>
      </c>
      <c r="N166" s="66" t="s">
        <v>189</v>
      </c>
      <c r="O166" s="70">
        <v>1</v>
      </c>
      <c r="P166" s="48">
        <v>-1</v>
      </c>
      <c r="Q166" s="48">
        <v>1</v>
      </c>
      <c r="R166" s="48">
        <v>0</v>
      </c>
      <c r="S166" s="92">
        <v>0</v>
      </c>
      <c r="T166" s="97" t="s">
        <v>178</v>
      </c>
      <c r="U166" s="70">
        <f t="shared" ref="U166" si="99">IF(AND(ISNUMBER(F166), F166&gt;0), 1, 0)</f>
        <v>1</v>
      </c>
      <c r="V166" s="48">
        <f t="shared" ref="V166" si="100">IF(AND(ISNUMBER(G166), G166&gt;0), 1, 0)</f>
        <v>0</v>
      </c>
      <c r="W166" s="48">
        <f t="shared" ref="W166" si="101">IF(AND(ISNUMBER(I166), I166&gt;0), 1, 0)</f>
        <v>1</v>
      </c>
      <c r="X166" s="61">
        <f t="shared" ref="X166" si="102">IF(AND(ISNUMBER(J166), J166&gt;0), 1, 0)</f>
        <v>0</v>
      </c>
      <c r="Y166" s="61">
        <f t="shared" ref="Y166" si="103">IF(AND(ISNUMBER(L166), L166&gt;0), 1, 0)</f>
        <v>0</v>
      </c>
      <c r="Z166" s="61">
        <v>-1</v>
      </c>
      <c r="AA166" s="61" t="s">
        <v>0</v>
      </c>
      <c r="AB166" t="s">
        <v>1063</v>
      </c>
    </row>
    <row r="167" spans="1:33" x14ac:dyDescent="0.25">
      <c r="C167" s="61">
        <f t="shared" si="87"/>
        <v>2008</v>
      </c>
      <c r="D167" s="6">
        <f t="shared" si="88"/>
        <v>2010</v>
      </c>
      <c r="E167" t="s">
        <v>183</v>
      </c>
      <c r="F167" s="52">
        <v>0</v>
      </c>
      <c r="G167" s="66" t="s">
        <v>733</v>
      </c>
      <c r="H167" s="66" t="s">
        <v>733</v>
      </c>
      <c r="I167" s="66" t="s">
        <v>155</v>
      </c>
      <c r="J167" s="66" t="s">
        <v>734</v>
      </c>
      <c r="K167" s="66" t="s">
        <v>734</v>
      </c>
      <c r="L167" s="66" t="s">
        <v>712</v>
      </c>
      <c r="M167" s="66" t="s">
        <v>188</v>
      </c>
      <c r="N167" s="66" t="s">
        <v>189</v>
      </c>
      <c r="O167" s="118">
        <v>0</v>
      </c>
      <c r="P167" s="48">
        <v>1</v>
      </c>
      <c r="Q167" s="48">
        <v>0</v>
      </c>
      <c r="R167" s="48">
        <v>0</v>
      </c>
      <c r="S167" s="92">
        <v>0</v>
      </c>
      <c r="T167" s="97" t="s">
        <v>174</v>
      </c>
      <c r="U167" s="70">
        <f t="shared" si="83"/>
        <v>0</v>
      </c>
      <c r="V167" s="48">
        <f t="shared" si="84"/>
        <v>0</v>
      </c>
      <c r="W167" s="48">
        <f t="shared" ref="W167:W172" si="104">IF(AND(ISNUMBER(I167), I167&gt;0), 1, 0)</f>
        <v>0</v>
      </c>
      <c r="X167" s="61">
        <f t="shared" si="86"/>
        <v>0</v>
      </c>
      <c r="Y167" s="61">
        <f t="shared" si="82"/>
        <v>0</v>
      </c>
      <c r="Z167" s="61">
        <v>-1</v>
      </c>
      <c r="AA167" s="61" t="s">
        <v>0</v>
      </c>
      <c r="AB167" t="s">
        <v>125</v>
      </c>
    </row>
    <row r="168" spans="1:33" x14ac:dyDescent="0.25">
      <c r="C168" s="61">
        <f t="shared" si="87"/>
        <v>2008</v>
      </c>
      <c r="D168" s="6">
        <f t="shared" si="88"/>
        <v>2010</v>
      </c>
      <c r="E168" t="s">
        <v>184</v>
      </c>
      <c r="F168" s="67" t="s">
        <v>154</v>
      </c>
      <c r="G168" s="66" t="s">
        <v>733</v>
      </c>
      <c r="H168" s="66" t="s">
        <v>733</v>
      </c>
      <c r="I168" s="48">
        <v>13</v>
      </c>
      <c r="J168" s="66" t="s">
        <v>734</v>
      </c>
      <c r="K168" s="66" t="s">
        <v>734</v>
      </c>
      <c r="L168" s="66" t="s">
        <v>712</v>
      </c>
      <c r="M168" s="66" t="s">
        <v>188</v>
      </c>
      <c r="N168" s="66" t="s">
        <v>189</v>
      </c>
      <c r="O168" s="118">
        <v>0</v>
      </c>
      <c r="P168" s="53">
        <v>1</v>
      </c>
      <c r="Q168" s="48">
        <v>0</v>
      </c>
      <c r="R168" s="48">
        <v>0</v>
      </c>
      <c r="S168" s="92">
        <v>0</v>
      </c>
      <c r="T168" s="97" t="s">
        <v>174</v>
      </c>
      <c r="U168" s="70">
        <f t="shared" si="83"/>
        <v>0</v>
      </c>
      <c r="V168" s="48">
        <f t="shared" si="84"/>
        <v>0</v>
      </c>
      <c r="W168" s="48">
        <f t="shared" si="104"/>
        <v>1</v>
      </c>
      <c r="X168" s="61">
        <f t="shared" si="86"/>
        <v>0</v>
      </c>
      <c r="Y168" s="61">
        <f t="shared" si="82"/>
        <v>0</v>
      </c>
      <c r="Z168" s="61">
        <v>-1</v>
      </c>
      <c r="AA168" s="61" t="s">
        <v>0</v>
      </c>
      <c r="AB168" t="s">
        <v>126</v>
      </c>
      <c r="AG168" t="s">
        <v>138</v>
      </c>
    </row>
    <row r="169" spans="1:33" x14ac:dyDescent="0.25">
      <c r="C169" s="61">
        <f t="shared" si="87"/>
        <v>2008</v>
      </c>
      <c r="D169" s="6">
        <f t="shared" si="88"/>
        <v>2010</v>
      </c>
      <c r="E169" t="s">
        <v>185</v>
      </c>
      <c r="F169" s="67" t="s">
        <v>154</v>
      </c>
      <c r="G169" s="66" t="s">
        <v>733</v>
      </c>
      <c r="H169" s="66" t="s">
        <v>733</v>
      </c>
      <c r="I169" s="48">
        <v>13</v>
      </c>
      <c r="J169" s="66" t="s">
        <v>734</v>
      </c>
      <c r="K169" s="66" t="s">
        <v>734</v>
      </c>
      <c r="L169" s="66" t="s">
        <v>712</v>
      </c>
      <c r="M169" s="66" t="s">
        <v>188</v>
      </c>
      <c r="N169" s="66" t="s">
        <v>189</v>
      </c>
      <c r="O169" s="118">
        <v>0</v>
      </c>
      <c r="P169" s="48">
        <v>1</v>
      </c>
      <c r="Q169" s="48">
        <v>0</v>
      </c>
      <c r="R169" s="48">
        <v>0</v>
      </c>
      <c r="S169" s="92">
        <v>0</v>
      </c>
      <c r="T169" s="97" t="s">
        <v>174</v>
      </c>
      <c r="U169" s="70">
        <f t="shared" si="83"/>
        <v>0</v>
      </c>
      <c r="V169" s="48">
        <f t="shared" si="84"/>
        <v>0</v>
      </c>
      <c r="W169" s="48">
        <f t="shared" si="104"/>
        <v>1</v>
      </c>
      <c r="X169" s="61">
        <f t="shared" si="86"/>
        <v>0</v>
      </c>
      <c r="Y169" s="61">
        <f t="shared" si="82"/>
        <v>0</v>
      </c>
      <c r="Z169" s="61">
        <v>-1</v>
      </c>
      <c r="AA169" s="61" t="s">
        <v>0</v>
      </c>
      <c r="AB169" t="s">
        <v>127</v>
      </c>
      <c r="AG169" t="s">
        <v>138</v>
      </c>
    </row>
    <row r="170" spans="1:33" x14ac:dyDescent="0.25">
      <c r="C170" s="61">
        <f t="shared" si="87"/>
        <v>2008</v>
      </c>
      <c r="D170" s="6">
        <f t="shared" si="88"/>
        <v>2010</v>
      </c>
      <c r="E170" t="s">
        <v>379</v>
      </c>
      <c r="F170" s="51">
        <v>16</v>
      </c>
      <c r="G170" s="66" t="s">
        <v>733</v>
      </c>
      <c r="H170" s="66" t="s">
        <v>733</v>
      </c>
      <c r="I170" s="11">
        <v>14</v>
      </c>
      <c r="J170" s="66" t="s">
        <v>734</v>
      </c>
      <c r="K170" s="66" t="s">
        <v>734</v>
      </c>
      <c r="L170" s="66" t="s">
        <v>712</v>
      </c>
      <c r="M170" s="66" t="s">
        <v>188</v>
      </c>
      <c r="N170" s="66" t="s">
        <v>189</v>
      </c>
      <c r="O170" s="70">
        <v>1</v>
      </c>
      <c r="P170" s="48">
        <v>1</v>
      </c>
      <c r="Q170" s="48">
        <v>0</v>
      </c>
      <c r="R170" s="48">
        <v>1</v>
      </c>
      <c r="S170" s="92">
        <v>0</v>
      </c>
      <c r="T170" s="97" t="s">
        <v>174</v>
      </c>
      <c r="U170" s="70">
        <v>0</v>
      </c>
      <c r="V170" s="48">
        <f t="shared" si="84"/>
        <v>0</v>
      </c>
      <c r="W170" s="48">
        <f t="shared" si="104"/>
        <v>1</v>
      </c>
      <c r="X170" s="61">
        <f t="shared" si="86"/>
        <v>0</v>
      </c>
      <c r="Y170" s="61">
        <f t="shared" si="82"/>
        <v>0</v>
      </c>
      <c r="Z170" s="61">
        <v>-1</v>
      </c>
      <c r="AA170" s="61" t="s">
        <v>0</v>
      </c>
      <c r="AB170" t="s">
        <v>380</v>
      </c>
      <c r="AD170" s="125" t="s">
        <v>381</v>
      </c>
    </row>
    <row r="171" spans="1:33" x14ac:dyDescent="0.25">
      <c r="A171" t="s">
        <v>0</v>
      </c>
      <c r="C171" s="61">
        <f t="shared" si="87"/>
        <v>2008</v>
      </c>
      <c r="D171" s="6">
        <f t="shared" si="88"/>
        <v>2010</v>
      </c>
      <c r="E171" s="24" t="s">
        <v>186</v>
      </c>
      <c r="F171" s="67" t="s">
        <v>154</v>
      </c>
      <c r="G171" s="66" t="s">
        <v>733</v>
      </c>
      <c r="H171" s="66" t="s">
        <v>733</v>
      </c>
      <c r="I171" s="11">
        <v>0</v>
      </c>
      <c r="J171" s="66" t="s">
        <v>734</v>
      </c>
      <c r="K171" s="66" t="s">
        <v>734</v>
      </c>
      <c r="L171" s="66" t="s">
        <v>712</v>
      </c>
      <c r="M171" s="66" t="s">
        <v>188</v>
      </c>
      <c r="N171" s="66" t="s">
        <v>189</v>
      </c>
      <c r="O171" s="71">
        <v>0</v>
      </c>
      <c r="P171" s="48">
        <v>1</v>
      </c>
      <c r="Q171" s="48">
        <v>0</v>
      </c>
      <c r="R171" s="48">
        <v>1</v>
      </c>
      <c r="S171" s="92">
        <v>0</v>
      </c>
      <c r="T171" s="98" t="s">
        <v>227</v>
      </c>
      <c r="U171" s="70">
        <f t="shared" ref="U171:U172" si="105">IF(AND(ISNUMBER(F171), F171&gt;0), 1, 0)</f>
        <v>0</v>
      </c>
      <c r="V171" s="48">
        <f t="shared" si="84"/>
        <v>0</v>
      </c>
      <c r="W171" s="48">
        <f t="shared" si="104"/>
        <v>0</v>
      </c>
      <c r="X171" s="61">
        <f t="shared" si="86"/>
        <v>0</v>
      </c>
      <c r="Y171" s="61">
        <f t="shared" si="82"/>
        <v>0</v>
      </c>
      <c r="Z171" s="61">
        <v>-1</v>
      </c>
      <c r="AA171" s="61" t="s">
        <v>0</v>
      </c>
      <c r="AB171" t="s">
        <v>128</v>
      </c>
      <c r="AD171" s="119" t="s">
        <v>363</v>
      </c>
    </row>
    <row r="172" spans="1:33" x14ac:dyDescent="0.25">
      <c r="A172" t="s">
        <v>0</v>
      </c>
      <c r="C172" s="61">
        <f t="shared" si="87"/>
        <v>2008</v>
      </c>
      <c r="D172" s="6">
        <f t="shared" si="88"/>
        <v>2010</v>
      </c>
      <c r="E172" s="24" t="s">
        <v>187</v>
      </c>
      <c r="F172" s="52">
        <v>0</v>
      </c>
      <c r="G172" s="66" t="s">
        <v>733</v>
      </c>
      <c r="H172" s="66" t="s">
        <v>733</v>
      </c>
      <c r="I172" s="11">
        <v>0</v>
      </c>
      <c r="J172" s="66" t="s">
        <v>734</v>
      </c>
      <c r="K172" s="66" t="s">
        <v>734</v>
      </c>
      <c r="L172" s="66" t="s">
        <v>712</v>
      </c>
      <c r="M172" s="66" t="s">
        <v>188</v>
      </c>
      <c r="N172" s="66" t="s">
        <v>189</v>
      </c>
      <c r="O172" s="71">
        <v>0</v>
      </c>
      <c r="P172" s="53">
        <v>1</v>
      </c>
      <c r="Q172" s="48">
        <v>0</v>
      </c>
      <c r="R172" s="48">
        <v>1</v>
      </c>
      <c r="S172" s="92">
        <v>0</v>
      </c>
      <c r="T172" s="98" t="s">
        <v>227</v>
      </c>
      <c r="U172" s="70">
        <f t="shared" si="105"/>
        <v>0</v>
      </c>
      <c r="V172" s="48">
        <f t="shared" si="84"/>
        <v>0</v>
      </c>
      <c r="W172" s="48">
        <f t="shared" si="104"/>
        <v>0</v>
      </c>
      <c r="X172" s="61">
        <f t="shared" si="86"/>
        <v>0</v>
      </c>
      <c r="Y172" s="61">
        <f t="shared" si="82"/>
        <v>0</v>
      </c>
      <c r="Z172" s="61">
        <v>-1</v>
      </c>
      <c r="AA172" s="61" t="s">
        <v>0</v>
      </c>
      <c r="AB172" t="s">
        <v>129</v>
      </c>
      <c r="AD172" s="119" t="s">
        <v>363</v>
      </c>
    </row>
    <row r="173" spans="1:33" x14ac:dyDescent="0.25">
      <c r="A173" t="s">
        <v>435</v>
      </c>
      <c r="E173" s="126"/>
      <c r="F173" s="126"/>
      <c r="G173" s="126"/>
      <c r="H173" s="126"/>
      <c r="I173" s="126"/>
      <c r="J173" s="126"/>
      <c r="K173" s="126"/>
      <c r="L173" s="126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  <c r="AB173" s="127"/>
      <c r="AC173" s="127"/>
    </row>
    <row r="174" spans="1:33" x14ac:dyDescent="0.25">
      <c r="C174" s="60">
        <v>2006</v>
      </c>
      <c r="D174" s="60">
        <v>2007</v>
      </c>
      <c r="E174" t="s">
        <v>173</v>
      </c>
      <c r="F174" s="68" t="s">
        <v>154</v>
      </c>
      <c r="G174" s="66" t="s">
        <v>733</v>
      </c>
      <c r="H174" s="66" t="s">
        <v>733</v>
      </c>
      <c r="I174" s="66" t="s">
        <v>155</v>
      </c>
      <c r="J174" s="66" t="s">
        <v>734</v>
      </c>
      <c r="K174" s="66" t="s">
        <v>734</v>
      </c>
      <c r="L174" s="66" t="s">
        <v>712</v>
      </c>
      <c r="M174" s="66" t="s">
        <v>188</v>
      </c>
      <c r="N174" s="66" t="s">
        <v>189</v>
      </c>
      <c r="O174" s="70">
        <v>1</v>
      </c>
      <c r="P174" s="48">
        <v>-1</v>
      </c>
      <c r="Q174" s="48">
        <v>0</v>
      </c>
      <c r="R174" s="48">
        <v>0</v>
      </c>
      <c r="S174" s="92">
        <v>0</v>
      </c>
      <c r="T174" s="97" t="s">
        <v>174</v>
      </c>
      <c r="U174" s="70">
        <f>IF(AND(ISNUMBER(F174), F174&gt;0), 1, 0)</f>
        <v>0</v>
      </c>
      <c r="V174" s="48">
        <f>IF(AND(ISNUMBER(G174), G174&gt;0), 1, 0)</f>
        <v>0</v>
      </c>
      <c r="W174" s="48">
        <f>IF(AND(ISNUMBER(I174), I174&gt;0), 1, 0)</f>
        <v>0</v>
      </c>
      <c r="X174" s="61">
        <f>IF(AND(ISNUMBER(J174), J174&gt;0), 1, 0)</f>
        <v>0</v>
      </c>
      <c r="Y174" s="61">
        <f t="shared" ref="Y174:Y202" si="106">IF(AND(ISNUMBER(L174), L174&gt;0), 1, 0)</f>
        <v>0</v>
      </c>
      <c r="Z174" s="61">
        <v>-1</v>
      </c>
      <c r="AA174" s="61" t="s">
        <v>0</v>
      </c>
      <c r="AB174" t="s">
        <v>115</v>
      </c>
    </row>
    <row r="175" spans="1:33" x14ac:dyDescent="0.25">
      <c r="C175" s="61">
        <f>C174</f>
        <v>2006</v>
      </c>
      <c r="D175" s="6">
        <f>D174</f>
        <v>2007</v>
      </c>
      <c r="E175" t="s">
        <v>174</v>
      </c>
      <c r="F175" s="51">
        <v>13</v>
      </c>
      <c r="G175" s="66" t="s">
        <v>733</v>
      </c>
      <c r="H175" s="66" t="s">
        <v>733</v>
      </c>
      <c r="I175" s="11">
        <v>11.3</v>
      </c>
      <c r="J175" s="66" t="s">
        <v>734</v>
      </c>
      <c r="K175" s="66" t="s">
        <v>734</v>
      </c>
      <c r="L175" s="66" t="s">
        <v>712</v>
      </c>
      <c r="M175" s="66" t="s">
        <v>188</v>
      </c>
      <c r="N175" s="66" t="s">
        <v>189</v>
      </c>
      <c r="O175" s="70">
        <v>1</v>
      </c>
      <c r="P175" s="48">
        <v>1</v>
      </c>
      <c r="Q175" s="48">
        <v>0</v>
      </c>
      <c r="R175" s="48">
        <v>1</v>
      </c>
      <c r="S175" s="92">
        <v>0</v>
      </c>
      <c r="T175" s="97" t="s">
        <v>174</v>
      </c>
      <c r="U175" s="70">
        <f t="shared" ref="U175:U199" si="107">IF(AND(ISNUMBER(F175), F175&gt;0), 1, 0)</f>
        <v>1</v>
      </c>
      <c r="V175" s="48">
        <f t="shared" ref="V175:V202" si="108">IF(AND(ISNUMBER(G175), G175&gt;0), 1, 0)</f>
        <v>0</v>
      </c>
      <c r="W175" s="48">
        <f t="shared" ref="W175:W177" si="109">IF(AND(ISNUMBER(I175), I175&gt;0), 1, 0)</f>
        <v>1</v>
      </c>
      <c r="X175" s="61">
        <f t="shared" ref="X175:X202" si="110">IF(AND(ISNUMBER(J175), J175&gt;0), 1, 0)</f>
        <v>0</v>
      </c>
      <c r="Y175" s="61">
        <f t="shared" si="106"/>
        <v>0</v>
      </c>
      <c r="Z175" s="61">
        <v>-1</v>
      </c>
      <c r="AA175" s="61" t="s">
        <v>0</v>
      </c>
      <c r="AB175" t="s">
        <v>116</v>
      </c>
    </row>
    <row r="176" spans="1:33" x14ac:dyDescent="0.25">
      <c r="C176" s="61">
        <f t="shared" ref="C176:C202" si="111">C175</f>
        <v>2006</v>
      </c>
      <c r="D176" s="6">
        <f t="shared" ref="D176:D202" si="112">D175</f>
        <v>2007</v>
      </c>
      <c r="E176" t="s">
        <v>175</v>
      </c>
      <c r="F176" s="51">
        <v>13</v>
      </c>
      <c r="G176" s="66" t="s">
        <v>733</v>
      </c>
      <c r="H176" s="66" t="s">
        <v>733</v>
      </c>
      <c r="I176" s="11">
        <v>11.3</v>
      </c>
      <c r="J176" s="66" t="s">
        <v>734</v>
      </c>
      <c r="K176" s="66" t="s">
        <v>734</v>
      </c>
      <c r="L176" s="66" t="s">
        <v>712</v>
      </c>
      <c r="M176" s="66" t="s">
        <v>188</v>
      </c>
      <c r="N176" s="66" t="s">
        <v>189</v>
      </c>
      <c r="O176" s="70">
        <v>1</v>
      </c>
      <c r="P176" s="48">
        <v>1</v>
      </c>
      <c r="Q176" s="48">
        <v>0</v>
      </c>
      <c r="R176" s="48">
        <v>1</v>
      </c>
      <c r="S176" s="92">
        <v>0</v>
      </c>
      <c r="T176" s="97" t="s">
        <v>174</v>
      </c>
      <c r="U176" s="70">
        <f t="shared" si="107"/>
        <v>1</v>
      </c>
      <c r="V176" s="48">
        <f t="shared" si="108"/>
        <v>0</v>
      </c>
      <c r="W176" s="48">
        <f t="shared" si="109"/>
        <v>1</v>
      </c>
      <c r="X176" s="61">
        <f t="shared" si="110"/>
        <v>0</v>
      </c>
      <c r="Y176" s="61">
        <f t="shared" si="106"/>
        <v>0</v>
      </c>
      <c r="Z176" s="61">
        <v>-1</v>
      </c>
      <c r="AA176" s="61" t="s">
        <v>0</v>
      </c>
      <c r="AB176" t="s">
        <v>117</v>
      </c>
    </row>
    <row r="177" spans="1:30" x14ac:dyDescent="0.25">
      <c r="C177" s="61">
        <f t="shared" si="111"/>
        <v>2006</v>
      </c>
      <c r="D177" s="6">
        <f t="shared" si="112"/>
        <v>2007</v>
      </c>
      <c r="E177" t="s">
        <v>176</v>
      </c>
      <c r="F177" s="51">
        <v>13</v>
      </c>
      <c r="G177" s="66" t="s">
        <v>733</v>
      </c>
      <c r="H177" s="66" t="s">
        <v>733</v>
      </c>
      <c r="I177" s="11">
        <v>11.3</v>
      </c>
      <c r="J177" s="66" t="s">
        <v>734</v>
      </c>
      <c r="K177" s="66" t="s">
        <v>734</v>
      </c>
      <c r="L177" s="66" t="s">
        <v>712</v>
      </c>
      <c r="M177" s="66" t="s">
        <v>188</v>
      </c>
      <c r="N177" s="66" t="s">
        <v>189</v>
      </c>
      <c r="O177" s="70">
        <v>0</v>
      </c>
      <c r="P177" s="48">
        <v>1</v>
      </c>
      <c r="Q177" s="48">
        <v>0</v>
      </c>
      <c r="R177" s="48">
        <v>1</v>
      </c>
      <c r="S177" s="92">
        <v>0</v>
      </c>
      <c r="T177" s="97" t="s">
        <v>174</v>
      </c>
      <c r="U177" s="70">
        <f t="shared" si="107"/>
        <v>1</v>
      </c>
      <c r="V177" s="48">
        <f t="shared" si="108"/>
        <v>0</v>
      </c>
      <c r="W177" s="48">
        <f t="shared" si="109"/>
        <v>1</v>
      </c>
      <c r="X177" s="61">
        <f t="shared" si="110"/>
        <v>0</v>
      </c>
      <c r="Y177" s="61">
        <f t="shared" si="106"/>
        <v>0</v>
      </c>
      <c r="Z177" s="61">
        <v>-1</v>
      </c>
      <c r="AA177" s="61" t="s">
        <v>0</v>
      </c>
      <c r="AB177" t="s">
        <v>118</v>
      </c>
    </row>
    <row r="178" spans="1:30" x14ac:dyDescent="0.25">
      <c r="C178" s="61">
        <f t="shared" si="111"/>
        <v>2006</v>
      </c>
      <c r="D178" s="6">
        <f t="shared" si="112"/>
        <v>2007</v>
      </c>
      <c r="E178" t="s">
        <v>515</v>
      </c>
      <c r="F178" s="51">
        <v>13</v>
      </c>
      <c r="G178" s="66" t="s">
        <v>733</v>
      </c>
      <c r="H178" s="66" t="s">
        <v>733</v>
      </c>
      <c r="I178" s="11">
        <v>11.3</v>
      </c>
      <c r="J178" s="66" t="s">
        <v>734</v>
      </c>
      <c r="K178" s="66" t="s">
        <v>734</v>
      </c>
      <c r="L178" s="66" t="s">
        <v>712</v>
      </c>
      <c r="M178" s="66" t="s">
        <v>188</v>
      </c>
      <c r="N178" s="66" t="s">
        <v>189</v>
      </c>
      <c r="O178" s="70">
        <v>1</v>
      </c>
      <c r="P178" s="48">
        <v>1</v>
      </c>
      <c r="Q178" s="48">
        <v>0</v>
      </c>
      <c r="R178" s="48">
        <v>1</v>
      </c>
      <c r="S178" s="92">
        <v>0</v>
      </c>
      <c r="T178" s="97" t="s">
        <v>174</v>
      </c>
      <c r="U178" s="70">
        <f t="shared" ref="U178" si="113">IF(AND(ISNUMBER(F178), F178&gt;0), 1, 0)</f>
        <v>1</v>
      </c>
      <c r="V178" s="48">
        <f t="shared" si="108"/>
        <v>0</v>
      </c>
      <c r="W178" s="48">
        <f t="shared" ref="W178" si="114">IF(AND(ISNUMBER(I178), I178&gt;0), 1, 0)</f>
        <v>1</v>
      </c>
      <c r="X178" s="61">
        <f t="shared" si="110"/>
        <v>0</v>
      </c>
      <c r="Y178" s="61">
        <f t="shared" si="106"/>
        <v>0</v>
      </c>
      <c r="Z178" s="61">
        <v>-1</v>
      </c>
      <c r="AA178" s="61" t="s">
        <v>0</v>
      </c>
      <c r="AB178" t="s">
        <v>516</v>
      </c>
    </row>
    <row r="179" spans="1:30" x14ac:dyDescent="0.25">
      <c r="C179" s="61">
        <f t="shared" si="111"/>
        <v>2006</v>
      </c>
      <c r="D179" s="6">
        <f t="shared" si="112"/>
        <v>2007</v>
      </c>
      <c r="E179" t="s">
        <v>526</v>
      </c>
      <c r="F179" s="51">
        <v>13</v>
      </c>
      <c r="G179" s="66" t="s">
        <v>733</v>
      </c>
      <c r="H179" s="66" t="s">
        <v>733</v>
      </c>
      <c r="I179" s="11">
        <v>11.3</v>
      </c>
      <c r="J179" s="66" t="s">
        <v>734</v>
      </c>
      <c r="K179" s="66" t="s">
        <v>734</v>
      </c>
      <c r="L179" s="66" t="s">
        <v>712</v>
      </c>
      <c r="M179" s="66" t="s">
        <v>188</v>
      </c>
      <c r="N179" s="66" t="s">
        <v>189</v>
      </c>
      <c r="O179" s="70">
        <v>1</v>
      </c>
      <c r="P179" s="48">
        <v>0</v>
      </c>
      <c r="Q179" s="48">
        <v>0</v>
      </c>
      <c r="R179" s="48">
        <v>1</v>
      </c>
      <c r="S179" s="120">
        <v>1</v>
      </c>
      <c r="T179" s="100" t="s">
        <v>174</v>
      </c>
      <c r="U179" s="70">
        <f t="shared" si="107"/>
        <v>1</v>
      </c>
      <c r="V179" s="48">
        <f t="shared" si="108"/>
        <v>0</v>
      </c>
      <c r="W179" s="48">
        <f t="shared" ref="W179:W186" si="115">IF(AND(ISNUMBER(I179), I179&gt;0), 1, 0)</f>
        <v>1</v>
      </c>
      <c r="X179" s="61">
        <f t="shared" si="110"/>
        <v>0</v>
      </c>
      <c r="Y179" s="61">
        <f t="shared" si="106"/>
        <v>0</v>
      </c>
      <c r="Z179" s="61">
        <v>-1</v>
      </c>
      <c r="AA179" s="61" t="s">
        <v>0</v>
      </c>
      <c r="AB179" t="s">
        <v>528</v>
      </c>
      <c r="AD179" t="s">
        <v>525</v>
      </c>
    </row>
    <row r="180" spans="1:30" x14ac:dyDescent="0.25">
      <c r="C180" s="61">
        <f t="shared" si="111"/>
        <v>2006</v>
      </c>
      <c r="D180" s="6">
        <f t="shared" si="112"/>
        <v>2007</v>
      </c>
      <c r="E180" t="s">
        <v>527</v>
      </c>
      <c r="F180" s="51">
        <v>13</v>
      </c>
      <c r="G180" s="66" t="s">
        <v>733</v>
      </c>
      <c r="H180" s="66" t="s">
        <v>733</v>
      </c>
      <c r="I180" s="11">
        <v>11.3</v>
      </c>
      <c r="J180" s="66" t="s">
        <v>734</v>
      </c>
      <c r="K180" s="66" t="s">
        <v>734</v>
      </c>
      <c r="L180" s="66" t="s">
        <v>712</v>
      </c>
      <c r="M180" s="66" t="s">
        <v>188</v>
      </c>
      <c r="N180" s="66" t="s">
        <v>189</v>
      </c>
      <c r="O180" s="70">
        <v>1</v>
      </c>
      <c r="P180" s="48">
        <v>0</v>
      </c>
      <c r="Q180" s="48">
        <v>0</v>
      </c>
      <c r="R180" s="48">
        <v>1</v>
      </c>
      <c r="S180" s="120">
        <v>1</v>
      </c>
      <c r="T180" s="100" t="s">
        <v>174</v>
      </c>
      <c r="U180" s="70">
        <f t="shared" si="107"/>
        <v>1</v>
      </c>
      <c r="V180" s="48">
        <f t="shared" si="108"/>
        <v>0</v>
      </c>
      <c r="W180" s="48">
        <f t="shared" si="115"/>
        <v>1</v>
      </c>
      <c r="X180" s="61">
        <f t="shared" si="110"/>
        <v>0</v>
      </c>
      <c r="Y180" s="61">
        <f t="shared" si="106"/>
        <v>0</v>
      </c>
      <c r="Z180" s="61">
        <v>-1</v>
      </c>
      <c r="AA180" s="61" t="s">
        <v>0</v>
      </c>
      <c r="AB180" t="s">
        <v>533</v>
      </c>
      <c r="AD180" t="s">
        <v>534</v>
      </c>
    </row>
    <row r="181" spans="1:30" x14ac:dyDescent="0.25">
      <c r="C181" s="61">
        <f t="shared" si="111"/>
        <v>2006</v>
      </c>
      <c r="D181" s="6">
        <f t="shared" si="112"/>
        <v>2007</v>
      </c>
      <c r="E181" t="s">
        <v>523</v>
      </c>
      <c r="F181" s="51">
        <v>13</v>
      </c>
      <c r="G181" s="66" t="s">
        <v>733</v>
      </c>
      <c r="H181" s="66" t="s">
        <v>733</v>
      </c>
      <c r="I181" s="11">
        <v>11.3</v>
      </c>
      <c r="J181" s="66" t="s">
        <v>734</v>
      </c>
      <c r="K181" s="66" t="s">
        <v>734</v>
      </c>
      <c r="L181" s="66" t="s">
        <v>712</v>
      </c>
      <c r="M181" s="66" t="s">
        <v>188</v>
      </c>
      <c r="N181" s="66" t="s">
        <v>189</v>
      </c>
      <c r="O181" s="70">
        <v>1</v>
      </c>
      <c r="P181" s="48">
        <v>0</v>
      </c>
      <c r="Q181" s="48">
        <v>0</v>
      </c>
      <c r="R181" s="48">
        <v>1</v>
      </c>
      <c r="S181" s="120">
        <v>1</v>
      </c>
      <c r="T181" s="100" t="s">
        <v>174</v>
      </c>
      <c r="U181" s="70">
        <f t="shared" si="107"/>
        <v>1</v>
      </c>
      <c r="V181" s="48">
        <f t="shared" si="108"/>
        <v>0</v>
      </c>
      <c r="W181" s="48">
        <f t="shared" si="115"/>
        <v>1</v>
      </c>
      <c r="X181" s="61">
        <f t="shared" si="110"/>
        <v>0</v>
      </c>
      <c r="Y181" s="61">
        <f t="shared" si="106"/>
        <v>0</v>
      </c>
      <c r="Z181" s="61">
        <v>-1</v>
      </c>
      <c r="AA181" s="61" t="s">
        <v>0</v>
      </c>
      <c r="AB181" t="s">
        <v>536</v>
      </c>
      <c r="AD181" t="s">
        <v>534</v>
      </c>
    </row>
    <row r="182" spans="1:30" x14ac:dyDescent="0.25">
      <c r="C182" s="61">
        <f t="shared" si="111"/>
        <v>2006</v>
      </c>
      <c r="D182" s="6">
        <f t="shared" si="112"/>
        <v>2007</v>
      </c>
      <c r="E182" t="s">
        <v>177</v>
      </c>
      <c r="F182" s="67" t="s">
        <v>154</v>
      </c>
      <c r="G182" s="66" t="s">
        <v>733</v>
      </c>
      <c r="H182" s="66" t="s">
        <v>733</v>
      </c>
      <c r="I182" s="11">
        <v>8.5</v>
      </c>
      <c r="J182" s="66" t="s">
        <v>734</v>
      </c>
      <c r="K182" s="66" t="s">
        <v>734</v>
      </c>
      <c r="L182" s="66" t="s">
        <v>712</v>
      </c>
      <c r="M182" s="66" t="s">
        <v>188</v>
      </c>
      <c r="N182" s="66" t="s">
        <v>189</v>
      </c>
      <c r="O182" s="71">
        <v>1</v>
      </c>
      <c r="P182" s="49">
        <v>0</v>
      </c>
      <c r="Q182" s="49">
        <v>0</v>
      </c>
      <c r="R182" s="49">
        <v>0</v>
      </c>
      <c r="S182" s="120">
        <v>1</v>
      </c>
      <c r="T182" s="99" t="s">
        <v>174</v>
      </c>
      <c r="U182" s="70">
        <f t="shared" si="107"/>
        <v>0</v>
      </c>
      <c r="V182" s="48">
        <f t="shared" si="108"/>
        <v>0</v>
      </c>
      <c r="W182" s="48">
        <f t="shared" si="115"/>
        <v>1</v>
      </c>
      <c r="X182" s="61">
        <f t="shared" si="110"/>
        <v>0</v>
      </c>
      <c r="Y182" s="61">
        <f t="shared" si="106"/>
        <v>0</v>
      </c>
      <c r="Z182" s="61">
        <v>-1</v>
      </c>
      <c r="AA182" s="61" t="s">
        <v>0</v>
      </c>
      <c r="AB182" t="s">
        <v>119</v>
      </c>
    </row>
    <row r="183" spans="1:30" x14ac:dyDescent="0.25">
      <c r="C183" s="61">
        <f t="shared" si="111"/>
        <v>2006</v>
      </c>
      <c r="D183" s="6">
        <f t="shared" si="112"/>
        <v>2007</v>
      </c>
      <c r="E183" t="s">
        <v>178</v>
      </c>
      <c r="F183" s="51">
        <v>13</v>
      </c>
      <c r="G183" s="66" t="s">
        <v>733</v>
      </c>
      <c r="H183" s="66" t="s">
        <v>733</v>
      </c>
      <c r="I183" s="11">
        <v>11.3</v>
      </c>
      <c r="J183" s="66" t="s">
        <v>734</v>
      </c>
      <c r="K183" s="66" t="s">
        <v>734</v>
      </c>
      <c r="L183" s="66" t="s">
        <v>712</v>
      </c>
      <c r="M183" s="66" t="s">
        <v>188</v>
      </c>
      <c r="N183" s="66" t="s">
        <v>189</v>
      </c>
      <c r="O183" s="70">
        <v>1</v>
      </c>
      <c r="P183" s="48">
        <v>1</v>
      </c>
      <c r="Q183" s="48">
        <v>1</v>
      </c>
      <c r="R183" s="48">
        <v>1</v>
      </c>
      <c r="S183" s="92">
        <v>0</v>
      </c>
      <c r="T183" s="97" t="s">
        <v>178</v>
      </c>
      <c r="U183" s="70">
        <f t="shared" si="107"/>
        <v>1</v>
      </c>
      <c r="V183" s="48">
        <f t="shared" si="108"/>
        <v>0</v>
      </c>
      <c r="W183" s="48">
        <f t="shared" si="115"/>
        <v>1</v>
      </c>
      <c r="X183" s="61">
        <f t="shared" si="110"/>
        <v>0</v>
      </c>
      <c r="Y183" s="61">
        <f t="shared" si="106"/>
        <v>0</v>
      </c>
      <c r="Z183" s="61">
        <v>-1</v>
      </c>
      <c r="AA183" s="61" t="s">
        <v>0</v>
      </c>
      <c r="AB183" t="s">
        <v>120</v>
      </c>
    </row>
    <row r="184" spans="1:30" x14ac:dyDescent="0.25">
      <c r="C184" s="61">
        <f t="shared" si="111"/>
        <v>2006</v>
      </c>
      <c r="D184" s="6">
        <f t="shared" si="112"/>
        <v>2007</v>
      </c>
      <c r="E184" t="s">
        <v>179</v>
      </c>
      <c r="F184" s="51">
        <v>13</v>
      </c>
      <c r="G184" s="66" t="s">
        <v>733</v>
      </c>
      <c r="H184" s="66" t="s">
        <v>733</v>
      </c>
      <c r="I184" s="66" t="s">
        <v>155</v>
      </c>
      <c r="J184" s="66" t="s">
        <v>734</v>
      </c>
      <c r="K184" s="66" t="s">
        <v>734</v>
      </c>
      <c r="L184" s="66" t="s">
        <v>712</v>
      </c>
      <c r="M184" s="66" t="s">
        <v>188</v>
      </c>
      <c r="N184" s="66" t="s">
        <v>189</v>
      </c>
      <c r="O184" s="71">
        <v>1</v>
      </c>
      <c r="P184" s="48">
        <v>1</v>
      </c>
      <c r="Q184" s="48">
        <v>1</v>
      </c>
      <c r="R184" s="48">
        <v>1</v>
      </c>
      <c r="S184" s="92">
        <v>0</v>
      </c>
      <c r="T184" s="97" t="s">
        <v>178</v>
      </c>
      <c r="U184" s="70">
        <f t="shared" si="107"/>
        <v>1</v>
      </c>
      <c r="V184" s="48">
        <f t="shared" si="108"/>
        <v>0</v>
      </c>
      <c r="W184" s="48">
        <f t="shared" si="115"/>
        <v>0</v>
      </c>
      <c r="X184" s="61">
        <f t="shared" si="110"/>
        <v>0</v>
      </c>
      <c r="Y184" s="61">
        <f t="shared" si="106"/>
        <v>0</v>
      </c>
      <c r="Z184" s="61">
        <v>-1</v>
      </c>
      <c r="AA184" s="61" t="s">
        <v>0</v>
      </c>
      <c r="AB184" t="s">
        <v>121</v>
      </c>
    </row>
    <row r="185" spans="1:30" x14ac:dyDescent="0.25">
      <c r="C185" s="61">
        <f t="shared" si="111"/>
        <v>2006</v>
      </c>
      <c r="D185" s="6">
        <f t="shared" si="112"/>
        <v>2007</v>
      </c>
      <c r="E185" t="s">
        <v>180</v>
      </c>
      <c r="F185" s="67" t="s">
        <v>154</v>
      </c>
      <c r="G185" s="66" t="s">
        <v>733</v>
      </c>
      <c r="H185" s="66" t="s">
        <v>733</v>
      </c>
      <c r="I185" s="11">
        <v>0</v>
      </c>
      <c r="J185" s="66" t="s">
        <v>734</v>
      </c>
      <c r="K185" s="66" t="s">
        <v>734</v>
      </c>
      <c r="L185" s="66" t="s">
        <v>712</v>
      </c>
      <c r="M185" s="66" t="s">
        <v>188</v>
      </c>
      <c r="N185" s="66" t="s">
        <v>189</v>
      </c>
      <c r="O185" s="71">
        <v>0</v>
      </c>
      <c r="P185" s="48">
        <v>1</v>
      </c>
      <c r="Q185" s="48">
        <v>1</v>
      </c>
      <c r="R185" s="48">
        <v>1</v>
      </c>
      <c r="S185" s="92">
        <v>0</v>
      </c>
      <c r="T185" s="97" t="s">
        <v>178</v>
      </c>
      <c r="U185" s="70">
        <f t="shared" si="107"/>
        <v>0</v>
      </c>
      <c r="V185" s="48">
        <f t="shared" si="108"/>
        <v>0</v>
      </c>
      <c r="W185" s="48">
        <f t="shared" si="115"/>
        <v>0</v>
      </c>
      <c r="X185" s="61">
        <f t="shared" si="110"/>
        <v>0</v>
      </c>
      <c r="Y185" s="61">
        <f t="shared" si="106"/>
        <v>0</v>
      </c>
      <c r="Z185" s="61">
        <v>-1</v>
      </c>
      <c r="AA185" s="61" t="s">
        <v>0</v>
      </c>
      <c r="AB185" t="s">
        <v>122</v>
      </c>
    </row>
    <row r="186" spans="1:30" x14ac:dyDescent="0.25">
      <c r="A186" t="s">
        <v>0</v>
      </c>
      <c r="C186" s="61">
        <f t="shared" si="111"/>
        <v>2006</v>
      </c>
      <c r="D186" s="6">
        <f t="shared" si="112"/>
        <v>2007</v>
      </c>
      <c r="E186" s="24" t="s">
        <v>181</v>
      </c>
      <c r="F186" s="67" t="s">
        <v>154</v>
      </c>
      <c r="G186" s="66" t="s">
        <v>733</v>
      </c>
      <c r="H186" s="66" t="s">
        <v>733</v>
      </c>
      <c r="I186" s="66" t="s">
        <v>155</v>
      </c>
      <c r="J186" s="66" t="s">
        <v>734</v>
      </c>
      <c r="K186" s="66" t="s">
        <v>734</v>
      </c>
      <c r="L186" s="66" t="s">
        <v>712</v>
      </c>
      <c r="M186" s="11">
        <v>0</v>
      </c>
      <c r="N186" s="11">
        <v>0</v>
      </c>
      <c r="O186" s="71">
        <v>0</v>
      </c>
      <c r="P186" s="53">
        <v>1</v>
      </c>
      <c r="Q186" s="48">
        <v>0</v>
      </c>
      <c r="R186" s="48">
        <v>1</v>
      </c>
      <c r="S186" s="92">
        <v>0</v>
      </c>
      <c r="T186" s="98" t="s">
        <v>227</v>
      </c>
      <c r="U186" s="70">
        <f t="shared" si="107"/>
        <v>0</v>
      </c>
      <c r="V186" s="48">
        <f t="shared" si="108"/>
        <v>0</v>
      </c>
      <c r="W186" s="48">
        <f t="shared" si="115"/>
        <v>0</v>
      </c>
      <c r="X186" s="61">
        <f t="shared" si="110"/>
        <v>0</v>
      </c>
      <c r="Y186" s="61">
        <f t="shared" si="106"/>
        <v>0</v>
      </c>
      <c r="Z186" s="61">
        <v>-1</v>
      </c>
      <c r="AA186" s="61" t="s">
        <v>0</v>
      </c>
      <c r="AB186" t="s">
        <v>123</v>
      </c>
      <c r="AD186" s="119" t="s">
        <v>363</v>
      </c>
    </row>
    <row r="187" spans="1:30" x14ac:dyDescent="0.25">
      <c r="C187" s="61">
        <f t="shared" si="111"/>
        <v>2006</v>
      </c>
      <c r="D187" s="6">
        <f t="shared" si="112"/>
        <v>2007</v>
      </c>
      <c r="E187" t="s">
        <v>511</v>
      </c>
      <c r="F187" s="51">
        <v>13</v>
      </c>
      <c r="G187" s="66" t="s">
        <v>733</v>
      </c>
      <c r="H187" s="66" t="s">
        <v>733</v>
      </c>
      <c r="I187" s="11">
        <v>11.3</v>
      </c>
      <c r="J187" s="66" t="s">
        <v>734</v>
      </c>
      <c r="K187" s="66" t="s">
        <v>734</v>
      </c>
      <c r="L187" s="66" t="s">
        <v>712</v>
      </c>
      <c r="M187" s="66" t="s">
        <v>188</v>
      </c>
      <c r="N187" s="66" t="s">
        <v>189</v>
      </c>
      <c r="O187" s="70">
        <v>1</v>
      </c>
      <c r="P187" s="48">
        <v>1</v>
      </c>
      <c r="Q187" s="48">
        <v>1</v>
      </c>
      <c r="R187" s="48">
        <v>1</v>
      </c>
      <c r="S187" s="92">
        <v>0</v>
      </c>
      <c r="T187" s="97" t="s">
        <v>178</v>
      </c>
      <c r="U187" s="70">
        <f t="shared" ref="U187" si="116">IF(AND(ISNUMBER(F187), F187&gt;0), 1, 0)</f>
        <v>1</v>
      </c>
      <c r="V187" s="48">
        <f t="shared" si="108"/>
        <v>0</v>
      </c>
      <c r="W187" s="48">
        <f t="shared" ref="W187" si="117">IF(AND(ISNUMBER(I187), I187&gt;0), 1, 0)</f>
        <v>1</v>
      </c>
      <c r="X187" s="61">
        <f t="shared" si="110"/>
        <v>0</v>
      </c>
      <c r="Y187" s="61">
        <f t="shared" si="106"/>
        <v>0</v>
      </c>
      <c r="Z187" s="61">
        <v>-1</v>
      </c>
      <c r="AA187" s="61" t="s">
        <v>0</v>
      </c>
      <c r="AB187" t="s">
        <v>517</v>
      </c>
    </row>
    <row r="188" spans="1:30" x14ac:dyDescent="0.25">
      <c r="C188" s="61">
        <f t="shared" si="111"/>
        <v>2006</v>
      </c>
      <c r="D188" s="6">
        <f t="shared" si="112"/>
        <v>2007</v>
      </c>
      <c r="E188" t="s">
        <v>530</v>
      </c>
      <c r="F188" s="63">
        <v>13</v>
      </c>
      <c r="G188" s="66" t="s">
        <v>733</v>
      </c>
      <c r="H188" s="66" t="s">
        <v>733</v>
      </c>
      <c r="I188" s="11">
        <v>11.3</v>
      </c>
      <c r="J188" s="66" t="s">
        <v>734</v>
      </c>
      <c r="K188" s="66" t="s">
        <v>734</v>
      </c>
      <c r="L188" s="66" t="s">
        <v>712</v>
      </c>
      <c r="M188" s="66" t="s">
        <v>188</v>
      </c>
      <c r="N188" s="66" t="s">
        <v>189</v>
      </c>
      <c r="O188" s="71">
        <v>1</v>
      </c>
      <c r="P188" s="48">
        <v>0</v>
      </c>
      <c r="Q188" s="48">
        <v>1</v>
      </c>
      <c r="R188" s="48">
        <v>1</v>
      </c>
      <c r="S188" s="120">
        <v>1</v>
      </c>
      <c r="T188" s="100" t="s">
        <v>178</v>
      </c>
      <c r="U188" s="70">
        <f t="shared" si="107"/>
        <v>1</v>
      </c>
      <c r="V188" s="48">
        <f t="shared" si="108"/>
        <v>0</v>
      </c>
      <c r="W188" s="48">
        <f t="shared" ref="W188:W194" si="118">IF(AND(ISNUMBER(I188), I188&gt;0), 1, 0)</f>
        <v>1</v>
      </c>
      <c r="X188" s="61">
        <f t="shared" si="110"/>
        <v>0</v>
      </c>
      <c r="Y188" s="61">
        <f t="shared" si="106"/>
        <v>0</v>
      </c>
      <c r="Z188" s="61">
        <v>-1</v>
      </c>
      <c r="AA188" s="61" t="s">
        <v>0</v>
      </c>
      <c r="AB188" t="s">
        <v>529</v>
      </c>
      <c r="AD188" t="s">
        <v>525</v>
      </c>
    </row>
    <row r="189" spans="1:30" x14ac:dyDescent="0.25">
      <c r="C189" s="61">
        <f t="shared" si="111"/>
        <v>2006</v>
      </c>
      <c r="D189" s="6">
        <f t="shared" si="112"/>
        <v>2007</v>
      </c>
      <c r="E189" t="s">
        <v>531</v>
      </c>
      <c r="F189" s="63">
        <v>13</v>
      </c>
      <c r="G189" s="66" t="s">
        <v>733</v>
      </c>
      <c r="H189" s="66" t="s">
        <v>733</v>
      </c>
      <c r="I189" s="11">
        <v>11.3</v>
      </c>
      <c r="J189" s="66" t="s">
        <v>734</v>
      </c>
      <c r="K189" s="66" t="s">
        <v>734</v>
      </c>
      <c r="L189" s="66" t="s">
        <v>712</v>
      </c>
      <c r="M189" s="66" t="s">
        <v>188</v>
      </c>
      <c r="N189" s="66" t="s">
        <v>189</v>
      </c>
      <c r="O189" s="71">
        <v>1</v>
      </c>
      <c r="P189" s="48">
        <v>0</v>
      </c>
      <c r="Q189" s="48">
        <v>1</v>
      </c>
      <c r="R189" s="48">
        <v>1</v>
      </c>
      <c r="S189" s="120">
        <v>1</v>
      </c>
      <c r="T189" s="100" t="s">
        <v>178</v>
      </c>
      <c r="U189" s="70">
        <f t="shared" si="107"/>
        <v>1</v>
      </c>
      <c r="V189" s="48">
        <f t="shared" si="108"/>
        <v>0</v>
      </c>
      <c r="W189" s="48">
        <f t="shared" si="118"/>
        <v>1</v>
      </c>
      <c r="X189" s="61">
        <f t="shared" si="110"/>
        <v>0</v>
      </c>
      <c r="Y189" s="61">
        <f t="shared" si="106"/>
        <v>0</v>
      </c>
      <c r="Z189" s="61">
        <v>-1</v>
      </c>
      <c r="AA189" s="61" t="s">
        <v>0</v>
      </c>
      <c r="AB189" t="s">
        <v>532</v>
      </c>
      <c r="AD189" t="s">
        <v>534</v>
      </c>
    </row>
    <row r="190" spans="1:30" x14ac:dyDescent="0.25">
      <c r="C190" s="61">
        <f t="shared" si="111"/>
        <v>2006</v>
      </c>
      <c r="D190" s="6">
        <f t="shared" si="112"/>
        <v>2007</v>
      </c>
      <c r="E190" t="s">
        <v>520</v>
      </c>
      <c r="F190" s="63">
        <v>13</v>
      </c>
      <c r="G190" s="66" t="s">
        <v>733</v>
      </c>
      <c r="H190" s="66" t="s">
        <v>733</v>
      </c>
      <c r="I190" s="11">
        <v>11.3</v>
      </c>
      <c r="J190" s="66" t="s">
        <v>734</v>
      </c>
      <c r="K190" s="66" t="s">
        <v>734</v>
      </c>
      <c r="L190" s="66" t="s">
        <v>712</v>
      </c>
      <c r="M190" s="66" t="s">
        <v>188</v>
      </c>
      <c r="N190" s="66" t="s">
        <v>189</v>
      </c>
      <c r="O190" s="71">
        <v>1</v>
      </c>
      <c r="P190" s="48">
        <v>0</v>
      </c>
      <c r="Q190" s="48">
        <v>1</v>
      </c>
      <c r="R190" s="48">
        <v>1</v>
      </c>
      <c r="S190" s="120">
        <v>1</v>
      </c>
      <c r="T190" s="100" t="s">
        <v>178</v>
      </c>
      <c r="U190" s="70">
        <f t="shared" si="107"/>
        <v>1</v>
      </c>
      <c r="V190" s="48">
        <f t="shared" si="108"/>
        <v>0</v>
      </c>
      <c r="W190" s="48">
        <f t="shared" si="118"/>
        <v>1</v>
      </c>
      <c r="X190" s="61">
        <f t="shared" si="110"/>
        <v>0</v>
      </c>
      <c r="Y190" s="61">
        <f t="shared" si="106"/>
        <v>0</v>
      </c>
      <c r="Z190" s="61">
        <v>-1</v>
      </c>
      <c r="AA190" s="61" t="s">
        <v>0</v>
      </c>
      <c r="AB190" t="s">
        <v>535</v>
      </c>
      <c r="AD190" t="s">
        <v>534</v>
      </c>
    </row>
    <row r="191" spans="1:30" x14ac:dyDescent="0.25">
      <c r="C191" s="61">
        <f t="shared" si="111"/>
        <v>2006</v>
      </c>
      <c r="D191" s="6">
        <f t="shared" si="112"/>
        <v>2007</v>
      </c>
      <c r="E191" t="s">
        <v>182</v>
      </c>
      <c r="F191" s="63">
        <v>12</v>
      </c>
      <c r="G191" s="66" t="s">
        <v>733</v>
      </c>
      <c r="H191" s="66" t="s">
        <v>733</v>
      </c>
      <c r="I191" s="11">
        <v>10</v>
      </c>
      <c r="J191" s="66" t="s">
        <v>734</v>
      </c>
      <c r="K191" s="66" t="s">
        <v>734</v>
      </c>
      <c r="L191" s="66" t="s">
        <v>712</v>
      </c>
      <c r="M191" s="66" t="s">
        <v>188</v>
      </c>
      <c r="N191" s="66" t="s">
        <v>189</v>
      </c>
      <c r="O191" s="71">
        <v>1</v>
      </c>
      <c r="P191" s="48">
        <v>0</v>
      </c>
      <c r="Q191" s="48">
        <v>1</v>
      </c>
      <c r="R191" s="48">
        <v>0</v>
      </c>
      <c r="S191" s="120">
        <v>1</v>
      </c>
      <c r="T191" s="100" t="s">
        <v>178</v>
      </c>
      <c r="U191" s="70">
        <f t="shared" si="107"/>
        <v>1</v>
      </c>
      <c r="V191" s="48">
        <f t="shared" si="108"/>
        <v>0</v>
      </c>
      <c r="W191" s="48">
        <f t="shared" si="118"/>
        <v>1</v>
      </c>
      <c r="X191" s="61">
        <f t="shared" si="110"/>
        <v>0</v>
      </c>
      <c r="Y191" s="61">
        <f t="shared" si="106"/>
        <v>0</v>
      </c>
      <c r="Z191" s="61">
        <v>-1</v>
      </c>
      <c r="AA191" s="61" t="s">
        <v>0</v>
      </c>
      <c r="AB191" t="s">
        <v>124</v>
      </c>
    </row>
    <row r="192" spans="1:30" x14ac:dyDescent="0.25">
      <c r="C192" s="61">
        <f t="shared" si="111"/>
        <v>2006</v>
      </c>
      <c r="D192" s="6">
        <f t="shared" si="112"/>
        <v>2007</v>
      </c>
      <c r="E192" t="s">
        <v>367</v>
      </c>
      <c r="F192" s="67" t="s">
        <v>154</v>
      </c>
      <c r="G192" s="66" t="s">
        <v>733</v>
      </c>
      <c r="H192" s="66" t="s">
        <v>733</v>
      </c>
      <c r="I192" s="11">
        <v>11.3</v>
      </c>
      <c r="J192" s="66" t="s">
        <v>734</v>
      </c>
      <c r="K192" s="66" t="s">
        <v>734</v>
      </c>
      <c r="L192" s="66" t="s">
        <v>712</v>
      </c>
      <c r="M192" s="66" t="s">
        <v>188</v>
      </c>
      <c r="N192" s="66" t="s">
        <v>189</v>
      </c>
      <c r="O192" s="70">
        <v>1</v>
      </c>
      <c r="P192" s="48">
        <v>-1</v>
      </c>
      <c r="Q192" s="48">
        <v>1</v>
      </c>
      <c r="R192" s="48">
        <v>1</v>
      </c>
      <c r="S192" s="120">
        <v>1</v>
      </c>
      <c r="T192" s="97" t="s">
        <v>178</v>
      </c>
      <c r="U192" s="70">
        <f t="shared" si="107"/>
        <v>0</v>
      </c>
      <c r="V192" s="48">
        <f t="shared" si="108"/>
        <v>0</v>
      </c>
      <c r="W192" s="48">
        <f t="shared" si="118"/>
        <v>1</v>
      </c>
      <c r="X192" s="61">
        <f t="shared" si="110"/>
        <v>0</v>
      </c>
      <c r="Y192" s="61">
        <f t="shared" si="106"/>
        <v>0</v>
      </c>
      <c r="Z192" s="61">
        <v>-1</v>
      </c>
      <c r="AA192" s="61" t="s">
        <v>0</v>
      </c>
      <c r="AB192" t="s">
        <v>368</v>
      </c>
    </row>
    <row r="193" spans="1:33" x14ac:dyDescent="0.25">
      <c r="C193" s="61">
        <f t="shared" si="111"/>
        <v>2006</v>
      </c>
      <c r="D193" s="6">
        <f t="shared" si="112"/>
        <v>2007</v>
      </c>
      <c r="E193" t="s">
        <v>366</v>
      </c>
      <c r="F193" s="67" t="s">
        <v>154</v>
      </c>
      <c r="G193" s="66" t="s">
        <v>733</v>
      </c>
      <c r="H193" s="66" t="s">
        <v>733</v>
      </c>
      <c r="I193" s="11">
        <v>11.3</v>
      </c>
      <c r="J193" s="66" t="s">
        <v>734</v>
      </c>
      <c r="K193" s="66" t="s">
        <v>734</v>
      </c>
      <c r="L193" s="66" t="s">
        <v>712</v>
      </c>
      <c r="M193" s="66" t="s">
        <v>188</v>
      </c>
      <c r="N193" s="66" t="s">
        <v>189</v>
      </c>
      <c r="O193" s="70">
        <v>1</v>
      </c>
      <c r="P193" s="48">
        <v>-1</v>
      </c>
      <c r="Q193" s="48">
        <v>1</v>
      </c>
      <c r="R193" s="48">
        <v>1</v>
      </c>
      <c r="S193" s="120">
        <v>1</v>
      </c>
      <c r="T193" s="97" t="s">
        <v>178</v>
      </c>
      <c r="U193" s="70">
        <f t="shared" si="107"/>
        <v>0</v>
      </c>
      <c r="V193" s="48">
        <f t="shared" si="108"/>
        <v>0</v>
      </c>
      <c r="W193" s="48">
        <f t="shared" si="118"/>
        <v>1</v>
      </c>
      <c r="X193" s="61">
        <f t="shared" si="110"/>
        <v>0</v>
      </c>
      <c r="Y193" s="61">
        <f t="shared" si="106"/>
        <v>0</v>
      </c>
      <c r="Z193" s="61">
        <v>-1</v>
      </c>
      <c r="AA193" s="61" t="s">
        <v>0</v>
      </c>
      <c r="AB193" t="s">
        <v>369</v>
      </c>
    </row>
    <row r="194" spans="1:33" x14ac:dyDescent="0.25">
      <c r="C194" s="61">
        <f t="shared" si="111"/>
        <v>2006</v>
      </c>
      <c r="D194" s="6">
        <f t="shared" si="112"/>
        <v>2007</v>
      </c>
      <c r="E194" t="s">
        <v>549</v>
      </c>
      <c r="F194" s="63">
        <v>13</v>
      </c>
      <c r="G194" s="66" t="s">
        <v>733</v>
      </c>
      <c r="H194" s="66" t="s">
        <v>733</v>
      </c>
      <c r="I194" s="11">
        <v>11.3</v>
      </c>
      <c r="J194" s="66" t="s">
        <v>734</v>
      </c>
      <c r="K194" s="66" t="s">
        <v>734</v>
      </c>
      <c r="L194" s="66" t="s">
        <v>712</v>
      </c>
      <c r="M194" s="66" t="s">
        <v>188</v>
      </c>
      <c r="N194" s="66" t="s">
        <v>189</v>
      </c>
      <c r="O194" s="70">
        <v>1</v>
      </c>
      <c r="P194" s="48">
        <v>-1</v>
      </c>
      <c r="Q194" s="48">
        <v>1</v>
      </c>
      <c r="R194" s="48">
        <v>0</v>
      </c>
      <c r="S194" s="92">
        <v>0</v>
      </c>
      <c r="T194" s="97" t="s">
        <v>178</v>
      </c>
      <c r="U194" s="70">
        <f t="shared" si="107"/>
        <v>1</v>
      </c>
      <c r="V194" s="48">
        <f t="shared" si="108"/>
        <v>0</v>
      </c>
      <c r="W194" s="48">
        <f t="shared" si="118"/>
        <v>1</v>
      </c>
      <c r="X194" s="61">
        <f t="shared" si="110"/>
        <v>0</v>
      </c>
      <c r="Y194" s="61">
        <f t="shared" si="106"/>
        <v>0</v>
      </c>
      <c r="Z194" s="61">
        <v>-1</v>
      </c>
      <c r="AA194" s="61" t="s">
        <v>0</v>
      </c>
      <c r="AB194" t="s">
        <v>550</v>
      </c>
      <c r="AD194" t="s">
        <v>551</v>
      </c>
    </row>
    <row r="195" spans="1:33" x14ac:dyDescent="0.25">
      <c r="C195" s="61">
        <f t="shared" si="111"/>
        <v>2006</v>
      </c>
      <c r="D195" s="6">
        <f t="shared" si="112"/>
        <v>2007</v>
      </c>
      <c r="E195" t="s">
        <v>728</v>
      </c>
      <c r="F195" s="63">
        <v>13</v>
      </c>
      <c r="G195" s="66" t="s">
        <v>733</v>
      </c>
      <c r="H195" s="66" t="s">
        <v>733</v>
      </c>
      <c r="I195" s="11">
        <v>11.3</v>
      </c>
      <c r="J195" s="66" t="s">
        <v>734</v>
      </c>
      <c r="K195" s="66" t="s">
        <v>734</v>
      </c>
      <c r="L195" s="66" t="s">
        <v>712</v>
      </c>
      <c r="M195" s="66" t="s">
        <v>188</v>
      </c>
      <c r="N195" s="66" t="s">
        <v>189</v>
      </c>
      <c r="O195" s="70">
        <v>1</v>
      </c>
      <c r="P195" s="48">
        <v>-1</v>
      </c>
      <c r="Q195" s="48">
        <v>1</v>
      </c>
      <c r="R195" s="48">
        <v>0</v>
      </c>
      <c r="S195" s="92">
        <v>0</v>
      </c>
      <c r="T195" s="97" t="s">
        <v>178</v>
      </c>
      <c r="U195" s="70">
        <f t="shared" ref="U195" si="119">IF(AND(ISNUMBER(F195), F195&gt;0), 1, 0)</f>
        <v>1</v>
      </c>
      <c r="V195" s="48">
        <f t="shared" si="108"/>
        <v>0</v>
      </c>
      <c r="W195" s="48">
        <f t="shared" ref="W195" si="120">IF(AND(ISNUMBER(I195), I195&gt;0), 1, 0)</f>
        <v>1</v>
      </c>
      <c r="X195" s="61">
        <f t="shared" si="110"/>
        <v>0</v>
      </c>
      <c r="Y195" s="61">
        <f t="shared" ref="Y195" si="121">IF(AND(ISNUMBER(L195), L195&gt;0), 1, 0)</f>
        <v>0</v>
      </c>
      <c r="Z195" s="61">
        <v>-1</v>
      </c>
      <c r="AA195" s="61" t="s">
        <v>0</v>
      </c>
      <c r="AB195" t="s">
        <v>729</v>
      </c>
      <c r="AD195" t="s">
        <v>551</v>
      </c>
    </row>
    <row r="196" spans="1:33" x14ac:dyDescent="0.25">
      <c r="C196" s="61">
        <f t="shared" si="111"/>
        <v>2006</v>
      </c>
      <c r="D196" s="6">
        <f t="shared" si="112"/>
        <v>2007</v>
      </c>
      <c r="E196" t="s">
        <v>1065</v>
      </c>
      <c r="F196" s="63">
        <v>13</v>
      </c>
      <c r="G196" s="66" t="s">
        <v>733</v>
      </c>
      <c r="H196" s="66" t="s">
        <v>733</v>
      </c>
      <c r="I196" s="11">
        <v>11.3</v>
      </c>
      <c r="J196" s="66" t="s">
        <v>734</v>
      </c>
      <c r="K196" s="66" t="s">
        <v>734</v>
      </c>
      <c r="L196" s="66" t="s">
        <v>712</v>
      </c>
      <c r="M196" s="66" t="s">
        <v>188</v>
      </c>
      <c r="N196" s="66" t="s">
        <v>189</v>
      </c>
      <c r="O196" s="70">
        <v>1</v>
      </c>
      <c r="P196" s="48">
        <v>-1</v>
      </c>
      <c r="Q196" s="48">
        <v>1</v>
      </c>
      <c r="R196" s="48">
        <v>0</v>
      </c>
      <c r="S196" s="92">
        <v>0</v>
      </c>
      <c r="T196" s="97" t="s">
        <v>178</v>
      </c>
      <c r="U196" s="70">
        <f t="shared" ref="U196" si="122">IF(AND(ISNUMBER(F196), F196&gt;0), 1, 0)</f>
        <v>1</v>
      </c>
      <c r="V196" s="48">
        <f t="shared" ref="V196" si="123">IF(AND(ISNUMBER(G196), G196&gt;0), 1, 0)</f>
        <v>0</v>
      </c>
      <c r="W196" s="48">
        <f t="shared" ref="W196" si="124">IF(AND(ISNUMBER(I196), I196&gt;0), 1, 0)</f>
        <v>1</v>
      </c>
      <c r="X196" s="61">
        <f t="shared" ref="X196" si="125">IF(AND(ISNUMBER(J196), J196&gt;0), 1, 0)</f>
        <v>0</v>
      </c>
      <c r="Y196" s="61">
        <f t="shared" ref="Y196" si="126">IF(AND(ISNUMBER(L196), L196&gt;0), 1, 0)</f>
        <v>0</v>
      </c>
      <c r="Z196" s="61">
        <v>-1</v>
      </c>
      <c r="AA196" s="61" t="s">
        <v>0</v>
      </c>
      <c r="AB196" t="s">
        <v>1063</v>
      </c>
    </row>
    <row r="197" spans="1:33" x14ac:dyDescent="0.25">
      <c r="C197" s="61">
        <f t="shared" si="111"/>
        <v>2006</v>
      </c>
      <c r="D197" s="6">
        <f t="shared" si="112"/>
        <v>2007</v>
      </c>
      <c r="E197" t="s">
        <v>183</v>
      </c>
      <c r="F197" s="52">
        <v>0</v>
      </c>
      <c r="G197" s="66" t="s">
        <v>733</v>
      </c>
      <c r="H197" s="66" t="s">
        <v>733</v>
      </c>
      <c r="I197" s="66" t="s">
        <v>155</v>
      </c>
      <c r="J197" s="66" t="s">
        <v>734</v>
      </c>
      <c r="K197" s="66" t="s">
        <v>734</v>
      </c>
      <c r="L197" s="66" t="s">
        <v>712</v>
      </c>
      <c r="M197" s="66" t="s">
        <v>188</v>
      </c>
      <c r="N197" s="66" t="s">
        <v>189</v>
      </c>
      <c r="O197" s="118">
        <v>0</v>
      </c>
      <c r="P197" s="48">
        <v>1</v>
      </c>
      <c r="Q197" s="48">
        <v>0</v>
      </c>
      <c r="R197" s="48">
        <v>0</v>
      </c>
      <c r="S197" s="92">
        <v>0</v>
      </c>
      <c r="T197" s="97" t="s">
        <v>174</v>
      </c>
      <c r="U197" s="70">
        <f t="shared" si="107"/>
        <v>0</v>
      </c>
      <c r="V197" s="48">
        <f t="shared" si="108"/>
        <v>0</v>
      </c>
      <c r="W197" s="48">
        <f t="shared" ref="W197:W202" si="127">IF(AND(ISNUMBER(I197), I197&gt;0), 1, 0)</f>
        <v>0</v>
      </c>
      <c r="X197" s="61">
        <f t="shared" si="110"/>
        <v>0</v>
      </c>
      <c r="Y197" s="61">
        <f t="shared" si="106"/>
        <v>0</v>
      </c>
      <c r="Z197" s="61">
        <v>-1</v>
      </c>
      <c r="AA197" s="61" t="s">
        <v>0</v>
      </c>
      <c r="AB197" t="s">
        <v>125</v>
      </c>
    </row>
    <row r="198" spans="1:33" x14ac:dyDescent="0.25">
      <c r="C198" s="61">
        <f t="shared" si="111"/>
        <v>2006</v>
      </c>
      <c r="D198" s="6">
        <f t="shared" si="112"/>
        <v>2007</v>
      </c>
      <c r="E198" t="s">
        <v>184</v>
      </c>
      <c r="F198" s="67" t="s">
        <v>154</v>
      </c>
      <c r="G198" s="66" t="s">
        <v>733</v>
      </c>
      <c r="H198" s="66" t="s">
        <v>733</v>
      </c>
      <c r="I198" s="48">
        <v>13</v>
      </c>
      <c r="J198" s="66" t="s">
        <v>734</v>
      </c>
      <c r="K198" s="66" t="s">
        <v>734</v>
      </c>
      <c r="L198" s="66" t="s">
        <v>712</v>
      </c>
      <c r="M198" s="66" t="s">
        <v>188</v>
      </c>
      <c r="N198" s="66" t="s">
        <v>189</v>
      </c>
      <c r="O198" s="118">
        <v>0</v>
      </c>
      <c r="P198" s="53">
        <v>1</v>
      </c>
      <c r="Q198" s="48">
        <v>0</v>
      </c>
      <c r="R198" s="48">
        <v>0</v>
      </c>
      <c r="S198" s="92">
        <v>0</v>
      </c>
      <c r="T198" s="97" t="s">
        <v>174</v>
      </c>
      <c r="U198" s="70">
        <f t="shared" si="107"/>
        <v>0</v>
      </c>
      <c r="V198" s="48">
        <f t="shared" si="108"/>
        <v>0</v>
      </c>
      <c r="W198" s="48">
        <f t="shared" si="127"/>
        <v>1</v>
      </c>
      <c r="X198" s="61">
        <f t="shared" si="110"/>
        <v>0</v>
      </c>
      <c r="Y198" s="61">
        <f t="shared" si="106"/>
        <v>0</v>
      </c>
      <c r="Z198" s="61">
        <v>-1</v>
      </c>
      <c r="AA198" s="61" t="s">
        <v>0</v>
      </c>
      <c r="AB198" t="s">
        <v>126</v>
      </c>
      <c r="AG198" t="s">
        <v>138</v>
      </c>
    </row>
    <row r="199" spans="1:33" x14ac:dyDescent="0.25">
      <c r="C199" s="61">
        <f t="shared" si="111"/>
        <v>2006</v>
      </c>
      <c r="D199" s="6">
        <f t="shared" si="112"/>
        <v>2007</v>
      </c>
      <c r="E199" t="s">
        <v>185</v>
      </c>
      <c r="F199" s="67" t="s">
        <v>154</v>
      </c>
      <c r="G199" s="66" t="s">
        <v>733</v>
      </c>
      <c r="H199" s="66" t="s">
        <v>733</v>
      </c>
      <c r="I199" s="48">
        <v>13</v>
      </c>
      <c r="J199" s="66" t="s">
        <v>734</v>
      </c>
      <c r="K199" s="66" t="s">
        <v>734</v>
      </c>
      <c r="L199" s="66" t="s">
        <v>712</v>
      </c>
      <c r="M199" s="66" t="s">
        <v>188</v>
      </c>
      <c r="N199" s="66" t="s">
        <v>189</v>
      </c>
      <c r="O199" s="118">
        <v>0</v>
      </c>
      <c r="P199" s="48">
        <v>1</v>
      </c>
      <c r="Q199" s="48">
        <v>0</v>
      </c>
      <c r="R199" s="48">
        <v>0</v>
      </c>
      <c r="S199" s="92">
        <v>0</v>
      </c>
      <c r="T199" s="97" t="s">
        <v>174</v>
      </c>
      <c r="U199" s="70">
        <f t="shared" si="107"/>
        <v>0</v>
      </c>
      <c r="V199" s="48">
        <f t="shared" si="108"/>
        <v>0</v>
      </c>
      <c r="W199" s="48">
        <f t="shared" si="127"/>
        <v>1</v>
      </c>
      <c r="X199" s="61">
        <f t="shared" si="110"/>
        <v>0</v>
      </c>
      <c r="Y199" s="61">
        <f t="shared" si="106"/>
        <v>0</v>
      </c>
      <c r="Z199" s="61">
        <v>-1</v>
      </c>
      <c r="AA199" s="61" t="s">
        <v>0</v>
      </c>
      <c r="AB199" t="s">
        <v>127</v>
      </c>
      <c r="AG199" t="s">
        <v>138</v>
      </c>
    </row>
    <row r="200" spans="1:33" x14ac:dyDescent="0.25">
      <c r="C200" s="61">
        <f t="shared" si="111"/>
        <v>2006</v>
      </c>
      <c r="D200" s="6">
        <f t="shared" si="112"/>
        <v>2007</v>
      </c>
      <c r="E200" t="s">
        <v>379</v>
      </c>
      <c r="F200" s="51">
        <v>16</v>
      </c>
      <c r="G200" s="66" t="s">
        <v>733</v>
      </c>
      <c r="H200" s="66" t="s">
        <v>733</v>
      </c>
      <c r="I200" s="11">
        <v>14</v>
      </c>
      <c r="J200" s="66" t="s">
        <v>734</v>
      </c>
      <c r="K200" s="66" t="s">
        <v>734</v>
      </c>
      <c r="L200" s="66" t="s">
        <v>712</v>
      </c>
      <c r="M200" s="66" t="s">
        <v>188</v>
      </c>
      <c r="N200" s="66" t="s">
        <v>189</v>
      </c>
      <c r="O200" s="70">
        <v>1</v>
      </c>
      <c r="P200" s="48">
        <v>1</v>
      </c>
      <c r="Q200" s="48">
        <v>0</v>
      </c>
      <c r="R200" s="48">
        <v>1</v>
      </c>
      <c r="S200" s="92">
        <v>0</v>
      </c>
      <c r="T200" s="97" t="s">
        <v>174</v>
      </c>
      <c r="U200" s="70">
        <v>0</v>
      </c>
      <c r="V200" s="48">
        <f t="shared" si="108"/>
        <v>0</v>
      </c>
      <c r="W200" s="48">
        <f t="shared" si="127"/>
        <v>1</v>
      </c>
      <c r="X200" s="61">
        <f t="shared" si="110"/>
        <v>0</v>
      </c>
      <c r="Y200" s="61">
        <f t="shared" si="106"/>
        <v>0</v>
      </c>
      <c r="Z200" s="61">
        <v>-1</v>
      </c>
      <c r="AA200" s="61" t="s">
        <v>0</v>
      </c>
      <c r="AB200" t="s">
        <v>380</v>
      </c>
      <c r="AD200" s="125" t="s">
        <v>381</v>
      </c>
    </row>
    <row r="201" spans="1:33" x14ac:dyDescent="0.25">
      <c r="A201" t="s">
        <v>0</v>
      </c>
      <c r="C201" s="61">
        <f t="shared" si="111"/>
        <v>2006</v>
      </c>
      <c r="D201" s="6">
        <f t="shared" si="112"/>
        <v>2007</v>
      </c>
      <c r="E201" s="24" t="s">
        <v>186</v>
      </c>
      <c r="F201" s="67" t="s">
        <v>154</v>
      </c>
      <c r="G201" s="66" t="s">
        <v>733</v>
      </c>
      <c r="H201" s="66" t="s">
        <v>733</v>
      </c>
      <c r="I201" s="11">
        <v>0</v>
      </c>
      <c r="J201" s="66" t="s">
        <v>734</v>
      </c>
      <c r="K201" s="66" t="s">
        <v>734</v>
      </c>
      <c r="L201" s="66" t="s">
        <v>712</v>
      </c>
      <c r="M201" s="66" t="s">
        <v>188</v>
      </c>
      <c r="N201" s="66" t="s">
        <v>189</v>
      </c>
      <c r="O201" s="71">
        <v>0</v>
      </c>
      <c r="P201" s="48">
        <v>1</v>
      </c>
      <c r="Q201" s="48">
        <v>0</v>
      </c>
      <c r="R201" s="48">
        <v>1</v>
      </c>
      <c r="S201" s="92">
        <v>0</v>
      </c>
      <c r="T201" s="98" t="s">
        <v>227</v>
      </c>
      <c r="U201" s="70">
        <f t="shared" ref="U201:U202" si="128">IF(AND(ISNUMBER(F201), F201&gt;0), 1, 0)</f>
        <v>0</v>
      </c>
      <c r="V201" s="48">
        <f t="shared" si="108"/>
        <v>0</v>
      </c>
      <c r="W201" s="48">
        <f t="shared" si="127"/>
        <v>0</v>
      </c>
      <c r="X201" s="61">
        <f t="shared" si="110"/>
        <v>0</v>
      </c>
      <c r="Y201" s="61">
        <f t="shared" si="106"/>
        <v>0</v>
      </c>
      <c r="Z201" s="61">
        <v>-1</v>
      </c>
      <c r="AA201" s="61" t="s">
        <v>0</v>
      </c>
      <c r="AB201" t="s">
        <v>128</v>
      </c>
      <c r="AD201" s="119" t="s">
        <v>363</v>
      </c>
    </row>
    <row r="202" spans="1:33" x14ac:dyDescent="0.25">
      <c r="A202" t="s">
        <v>0</v>
      </c>
      <c r="C202" s="61">
        <f t="shared" si="111"/>
        <v>2006</v>
      </c>
      <c r="D202" s="6">
        <f t="shared" si="112"/>
        <v>2007</v>
      </c>
      <c r="E202" s="24" t="s">
        <v>187</v>
      </c>
      <c r="F202" s="52">
        <v>0</v>
      </c>
      <c r="G202" s="66" t="s">
        <v>733</v>
      </c>
      <c r="H202" s="66" t="s">
        <v>733</v>
      </c>
      <c r="I202" s="11">
        <v>0</v>
      </c>
      <c r="J202" s="66" t="s">
        <v>734</v>
      </c>
      <c r="K202" s="66" t="s">
        <v>734</v>
      </c>
      <c r="L202" s="66" t="s">
        <v>712</v>
      </c>
      <c r="M202" s="66" t="s">
        <v>188</v>
      </c>
      <c r="N202" s="66" t="s">
        <v>189</v>
      </c>
      <c r="O202" s="71">
        <v>0</v>
      </c>
      <c r="P202" s="53">
        <v>1</v>
      </c>
      <c r="Q202" s="48">
        <v>0</v>
      </c>
      <c r="R202" s="48">
        <v>1</v>
      </c>
      <c r="S202" s="92">
        <v>0</v>
      </c>
      <c r="T202" s="98" t="s">
        <v>227</v>
      </c>
      <c r="U202" s="70">
        <f t="shared" si="128"/>
        <v>0</v>
      </c>
      <c r="V202" s="48">
        <f t="shared" si="108"/>
        <v>0</v>
      </c>
      <c r="W202" s="48">
        <f t="shared" si="127"/>
        <v>0</v>
      </c>
      <c r="X202" s="61">
        <f t="shared" si="110"/>
        <v>0</v>
      </c>
      <c r="Y202" s="61">
        <f t="shared" si="106"/>
        <v>0</v>
      </c>
      <c r="Z202" s="61">
        <v>-1</v>
      </c>
      <c r="AA202" s="61" t="s">
        <v>0</v>
      </c>
      <c r="AB202" t="s">
        <v>129</v>
      </c>
      <c r="AD202" s="119" t="s">
        <v>363</v>
      </c>
    </row>
    <row r="203" spans="1:33" x14ac:dyDescent="0.25">
      <c r="A203" t="s">
        <v>519</v>
      </c>
      <c r="E203" s="126"/>
      <c r="F203" s="126"/>
      <c r="G203" s="126"/>
      <c r="H203" s="126"/>
      <c r="I203" s="126"/>
      <c r="J203" s="126"/>
      <c r="K203" s="126"/>
      <c r="L203" s="126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  <c r="AB203" s="127"/>
      <c r="AC203" s="127"/>
    </row>
    <row r="204" spans="1:33" x14ac:dyDescent="0.25">
      <c r="C204" s="60">
        <v>2014</v>
      </c>
      <c r="D204" s="60">
        <v>2014</v>
      </c>
      <c r="E204" t="s">
        <v>173</v>
      </c>
      <c r="F204" s="68" t="s">
        <v>154</v>
      </c>
      <c r="G204" s="66" t="s">
        <v>733</v>
      </c>
      <c r="H204" s="66" t="s">
        <v>733</v>
      </c>
      <c r="I204" s="66" t="s">
        <v>155</v>
      </c>
      <c r="J204" s="66" t="s">
        <v>734</v>
      </c>
      <c r="K204" s="66" t="s">
        <v>734</v>
      </c>
      <c r="L204" s="66" t="s">
        <v>712</v>
      </c>
      <c r="M204" s="66" t="s">
        <v>188</v>
      </c>
      <c r="N204" s="66" t="s">
        <v>189</v>
      </c>
      <c r="O204" s="70">
        <v>1</v>
      </c>
      <c r="P204" s="48">
        <v>-1</v>
      </c>
      <c r="Q204" s="48">
        <v>0</v>
      </c>
      <c r="R204" s="48">
        <v>0</v>
      </c>
      <c r="S204" s="92">
        <v>0</v>
      </c>
      <c r="T204" s="97" t="s">
        <v>174</v>
      </c>
      <c r="U204" s="70">
        <f>IF(AND(ISNUMBER(F204), F204&gt;0), 1, 0)</f>
        <v>0</v>
      </c>
      <c r="V204" s="48">
        <f>IF(AND(ISNUMBER(G204), G204&gt;0), 1, 0)</f>
        <v>0</v>
      </c>
      <c r="W204" s="48">
        <f>IF(AND(ISNUMBER(I204), I204&gt;0), 1, 0)</f>
        <v>0</v>
      </c>
      <c r="X204" s="61">
        <f>IF(AND(ISNUMBER(J204), J204&gt;0), 1, 0)</f>
        <v>0</v>
      </c>
      <c r="Y204" s="61">
        <f t="shared" ref="Y204:Y243" si="129">IF(AND(ISNUMBER(L204), L204&gt;0), 1, 0)</f>
        <v>0</v>
      </c>
      <c r="Z204" s="61">
        <v>-1</v>
      </c>
      <c r="AA204" s="61" t="s">
        <v>0</v>
      </c>
      <c r="AB204" t="s">
        <v>115</v>
      </c>
    </row>
    <row r="205" spans="1:33" x14ac:dyDescent="0.25">
      <c r="C205" s="61">
        <f>C204</f>
        <v>2014</v>
      </c>
      <c r="D205" s="6">
        <f>D204</f>
        <v>2014</v>
      </c>
      <c r="E205" t="s">
        <v>174</v>
      </c>
      <c r="F205" s="51">
        <v>13</v>
      </c>
      <c r="G205" s="66" t="s">
        <v>733</v>
      </c>
      <c r="H205" s="66" t="s">
        <v>733</v>
      </c>
      <c r="I205" s="11">
        <v>11.3</v>
      </c>
      <c r="J205" s="66" t="s">
        <v>734</v>
      </c>
      <c r="K205" s="66" t="s">
        <v>734</v>
      </c>
      <c r="L205" s="66" t="s">
        <v>712</v>
      </c>
      <c r="M205" s="66" t="s">
        <v>188</v>
      </c>
      <c r="N205" s="66" t="s">
        <v>189</v>
      </c>
      <c r="O205" s="70">
        <v>1</v>
      </c>
      <c r="P205" s="48">
        <v>1</v>
      </c>
      <c r="Q205" s="48">
        <v>0</v>
      </c>
      <c r="R205" s="48">
        <v>1</v>
      </c>
      <c r="S205" s="92">
        <v>0</v>
      </c>
      <c r="T205" s="97" t="s">
        <v>174</v>
      </c>
      <c r="U205" s="70">
        <f t="shared" ref="U205:U240" si="130">IF(AND(ISNUMBER(F205), F205&gt;0), 1, 0)</f>
        <v>1</v>
      </c>
      <c r="V205" s="48">
        <f t="shared" ref="V205:V227" si="131">IF(AND(ISNUMBER(G205), G205&gt;0), 1, 0)</f>
        <v>0</v>
      </c>
      <c r="W205" s="48">
        <f t="shared" ref="W205:W227" si="132">IF(AND(ISNUMBER(I205), I205&gt;0), 1, 0)</f>
        <v>1</v>
      </c>
      <c r="X205" s="61">
        <f t="shared" ref="X205:X243" si="133">IF(AND(ISNUMBER(J205), J205&gt;0), 1, 0)</f>
        <v>0</v>
      </c>
      <c r="Y205" s="61">
        <f t="shared" si="129"/>
        <v>0</v>
      </c>
      <c r="Z205" s="61">
        <v>-1</v>
      </c>
      <c r="AA205" s="61" t="s">
        <v>0</v>
      </c>
      <c r="AB205" t="s">
        <v>116</v>
      </c>
    </row>
    <row r="206" spans="1:33" x14ac:dyDescent="0.25">
      <c r="C206" s="61">
        <f t="shared" ref="C206:D208" si="134">C205</f>
        <v>2014</v>
      </c>
      <c r="D206" s="6">
        <f t="shared" si="134"/>
        <v>2014</v>
      </c>
      <c r="E206" s="176" t="s">
        <v>697</v>
      </c>
      <c r="F206" s="67" t="s">
        <v>154</v>
      </c>
      <c r="G206" s="66" t="s">
        <v>733</v>
      </c>
      <c r="H206" s="66" t="s">
        <v>733</v>
      </c>
      <c r="I206" s="177">
        <v>7.6</v>
      </c>
      <c r="J206" s="66" t="s">
        <v>734</v>
      </c>
      <c r="K206" s="66" t="s">
        <v>734</v>
      </c>
      <c r="L206" s="66" t="s">
        <v>712</v>
      </c>
      <c r="M206" s="66" t="s">
        <v>188</v>
      </c>
      <c r="N206" s="66" t="s">
        <v>189</v>
      </c>
      <c r="O206" s="70">
        <v>1</v>
      </c>
      <c r="P206" s="48">
        <v>0</v>
      </c>
      <c r="Q206" s="48">
        <v>0</v>
      </c>
      <c r="R206" s="48">
        <v>0</v>
      </c>
      <c r="S206" s="70">
        <v>0</v>
      </c>
      <c r="T206" s="97" t="s">
        <v>174</v>
      </c>
      <c r="U206" s="70">
        <f t="shared" si="130"/>
        <v>0</v>
      </c>
      <c r="V206" s="48">
        <f t="shared" si="131"/>
        <v>0</v>
      </c>
      <c r="W206" s="48">
        <f t="shared" si="132"/>
        <v>1</v>
      </c>
      <c r="X206" s="61">
        <f t="shared" si="133"/>
        <v>0</v>
      </c>
      <c r="Y206" s="61">
        <f t="shared" si="129"/>
        <v>0</v>
      </c>
      <c r="Z206" s="61">
        <v>-1</v>
      </c>
      <c r="AA206" s="61" t="s">
        <v>0</v>
      </c>
      <c r="AB206" s="54" t="s">
        <v>702</v>
      </c>
    </row>
    <row r="207" spans="1:33" x14ac:dyDescent="0.25">
      <c r="C207" s="61">
        <f t="shared" ref="C207" si="135">C206</f>
        <v>2014</v>
      </c>
      <c r="D207" s="6">
        <f t="shared" si="134"/>
        <v>2014</v>
      </c>
      <c r="E207" s="176" t="s">
        <v>698</v>
      </c>
      <c r="F207" s="67" t="s">
        <v>154</v>
      </c>
      <c r="G207" s="66" t="s">
        <v>733</v>
      </c>
      <c r="H207" s="66" t="s">
        <v>733</v>
      </c>
      <c r="I207" s="177">
        <v>10</v>
      </c>
      <c r="J207" s="66" t="s">
        <v>734</v>
      </c>
      <c r="K207" s="66" t="s">
        <v>734</v>
      </c>
      <c r="L207" s="66" t="s">
        <v>712</v>
      </c>
      <c r="M207" s="66" t="s">
        <v>188</v>
      </c>
      <c r="N207" s="66" t="s">
        <v>189</v>
      </c>
      <c r="O207" s="70">
        <v>1</v>
      </c>
      <c r="P207" s="48">
        <v>0</v>
      </c>
      <c r="Q207" s="48">
        <v>0</v>
      </c>
      <c r="R207" s="48">
        <v>0</v>
      </c>
      <c r="S207" s="70">
        <v>0</v>
      </c>
      <c r="T207" s="97" t="s">
        <v>174</v>
      </c>
      <c r="U207" s="70">
        <f t="shared" si="130"/>
        <v>0</v>
      </c>
      <c r="V207" s="48">
        <f t="shared" si="131"/>
        <v>0</v>
      </c>
      <c r="W207" s="48">
        <f t="shared" si="132"/>
        <v>1</v>
      </c>
      <c r="X207" s="61">
        <f t="shared" si="133"/>
        <v>0</v>
      </c>
      <c r="Y207" s="61">
        <f t="shared" si="129"/>
        <v>0</v>
      </c>
      <c r="Z207" s="61">
        <v>-1</v>
      </c>
      <c r="AA207" s="61" t="s">
        <v>0</v>
      </c>
      <c r="AB207" s="54" t="s">
        <v>703</v>
      </c>
    </row>
    <row r="208" spans="1:33" x14ac:dyDescent="0.25">
      <c r="C208" s="61">
        <f t="shared" si="134"/>
        <v>2014</v>
      </c>
      <c r="D208" s="6">
        <f t="shared" si="134"/>
        <v>2014</v>
      </c>
      <c r="E208" t="s">
        <v>175</v>
      </c>
      <c r="F208" s="51">
        <v>13</v>
      </c>
      <c r="G208" s="66" t="s">
        <v>733</v>
      </c>
      <c r="H208" s="66" t="s">
        <v>733</v>
      </c>
      <c r="I208" s="11">
        <v>11.3</v>
      </c>
      <c r="J208" s="66" t="s">
        <v>734</v>
      </c>
      <c r="K208" s="66" t="s">
        <v>734</v>
      </c>
      <c r="L208" s="66" t="s">
        <v>712</v>
      </c>
      <c r="M208" s="66" t="s">
        <v>188</v>
      </c>
      <c r="N208" s="66" t="s">
        <v>189</v>
      </c>
      <c r="O208" s="70">
        <v>1</v>
      </c>
      <c r="P208" s="48">
        <v>1</v>
      </c>
      <c r="Q208" s="48">
        <v>0</v>
      </c>
      <c r="R208" s="48">
        <v>1</v>
      </c>
      <c r="S208" s="92">
        <v>0</v>
      </c>
      <c r="T208" s="97" t="s">
        <v>174</v>
      </c>
      <c r="U208" s="70">
        <f t="shared" si="130"/>
        <v>1</v>
      </c>
      <c r="V208" s="48">
        <f t="shared" si="131"/>
        <v>0</v>
      </c>
      <c r="W208" s="48">
        <f t="shared" si="132"/>
        <v>1</v>
      </c>
      <c r="X208" s="61">
        <f t="shared" si="133"/>
        <v>0</v>
      </c>
      <c r="Y208" s="61">
        <f t="shared" si="129"/>
        <v>0</v>
      </c>
      <c r="Z208" s="61">
        <v>-1</v>
      </c>
      <c r="AA208" s="61" t="s">
        <v>0</v>
      </c>
      <c r="AB208" t="s">
        <v>117</v>
      </c>
    </row>
    <row r="209" spans="1:30" x14ac:dyDescent="0.25">
      <c r="C209" s="61">
        <f t="shared" ref="C209:C243" si="136">C208</f>
        <v>2014</v>
      </c>
      <c r="D209" s="6">
        <f t="shared" ref="D209:D243" si="137">D208</f>
        <v>2014</v>
      </c>
      <c r="E209" t="s">
        <v>176</v>
      </c>
      <c r="F209" s="51">
        <v>13</v>
      </c>
      <c r="G209" s="66" t="s">
        <v>733</v>
      </c>
      <c r="H209" s="66" t="s">
        <v>733</v>
      </c>
      <c r="I209" s="11">
        <v>11.3</v>
      </c>
      <c r="J209" s="66" t="s">
        <v>734</v>
      </c>
      <c r="K209" s="66" t="s">
        <v>734</v>
      </c>
      <c r="L209" s="66" t="s">
        <v>712</v>
      </c>
      <c r="M209" s="66" t="s">
        <v>188</v>
      </c>
      <c r="N209" s="66" t="s">
        <v>189</v>
      </c>
      <c r="O209" s="70">
        <v>0</v>
      </c>
      <c r="P209" s="48">
        <v>1</v>
      </c>
      <c r="Q209" s="48">
        <v>0</v>
      </c>
      <c r="R209" s="48">
        <v>1</v>
      </c>
      <c r="S209" s="92">
        <v>0</v>
      </c>
      <c r="T209" s="97" t="s">
        <v>174</v>
      </c>
      <c r="U209" s="70">
        <f t="shared" si="130"/>
        <v>1</v>
      </c>
      <c r="V209" s="48">
        <f t="shared" si="131"/>
        <v>0</v>
      </c>
      <c r="W209" s="48">
        <f t="shared" si="132"/>
        <v>1</v>
      </c>
      <c r="X209" s="61">
        <f t="shared" si="133"/>
        <v>0</v>
      </c>
      <c r="Y209" s="61">
        <f t="shared" si="129"/>
        <v>0</v>
      </c>
      <c r="Z209" s="61">
        <v>-1</v>
      </c>
      <c r="AA209" s="61" t="s">
        <v>0</v>
      </c>
      <c r="AB209" t="s">
        <v>118</v>
      </c>
    </row>
    <row r="210" spans="1:30" x14ac:dyDescent="0.25">
      <c r="C210" s="61">
        <f t="shared" ref="C210:C239" si="138">C209</f>
        <v>2014</v>
      </c>
      <c r="D210" s="6">
        <f t="shared" ref="D210:D239" si="139">D209</f>
        <v>2014</v>
      </c>
      <c r="E210" t="s">
        <v>515</v>
      </c>
      <c r="F210" s="51">
        <v>13</v>
      </c>
      <c r="G210" s="66" t="s">
        <v>733</v>
      </c>
      <c r="H210" s="66" t="s">
        <v>733</v>
      </c>
      <c r="I210" s="11">
        <v>11.3</v>
      </c>
      <c r="J210" s="66" t="s">
        <v>734</v>
      </c>
      <c r="K210" s="66" t="s">
        <v>734</v>
      </c>
      <c r="L210" s="66" t="s">
        <v>712</v>
      </c>
      <c r="M210" s="66" t="s">
        <v>188</v>
      </c>
      <c r="N210" s="66" t="s">
        <v>189</v>
      </c>
      <c r="O210" s="70">
        <v>1</v>
      </c>
      <c r="P210" s="48">
        <v>1</v>
      </c>
      <c r="Q210" s="48">
        <v>0</v>
      </c>
      <c r="R210" s="48">
        <v>1</v>
      </c>
      <c r="S210" s="92">
        <v>0</v>
      </c>
      <c r="T210" s="97" t="s">
        <v>174</v>
      </c>
      <c r="U210" s="70">
        <f t="shared" si="130"/>
        <v>1</v>
      </c>
      <c r="V210" s="48">
        <f t="shared" si="131"/>
        <v>0</v>
      </c>
      <c r="W210" s="48">
        <f t="shared" si="132"/>
        <v>1</v>
      </c>
      <c r="X210" s="61">
        <f t="shared" si="133"/>
        <v>0</v>
      </c>
      <c r="Y210" s="61">
        <f t="shared" si="129"/>
        <v>0</v>
      </c>
      <c r="Z210" s="61">
        <v>-1</v>
      </c>
      <c r="AA210" s="61" t="s">
        <v>0</v>
      </c>
      <c r="AB210" t="s">
        <v>516</v>
      </c>
    </row>
    <row r="211" spans="1:30" x14ac:dyDescent="0.25">
      <c r="C211" s="61">
        <f t="shared" si="138"/>
        <v>2014</v>
      </c>
      <c r="D211" s="6">
        <f t="shared" si="139"/>
        <v>2014</v>
      </c>
      <c r="E211" t="s">
        <v>526</v>
      </c>
      <c r="F211" s="51">
        <v>13</v>
      </c>
      <c r="G211" s="66" t="s">
        <v>733</v>
      </c>
      <c r="H211" s="66" t="s">
        <v>733</v>
      </c>
      <c r="I211" s="11">
        <v>11.3</v>
      </c>
      <c r="J211" s="66" t="s">
        <v>734</v>
      </c>
      <c r="K211" s="66" t="s">
        <v>734</v>
      </c>
      <c r="L211" s="66" t="s">
        <v>712</v>
      </c>
      <c r="M211" s="66" t="s">
        <v>188</v>
      </c>
      <c r="N211" s="66" t="s">
        <v>189</v>
      </c>
      <c r="O211" s="70">
        <v>1</v>
      </c>
      <c r="P211" s="48">
        <v>0</v>
      </c>
      <c r="Q211" s="48">
        <v>0</v>
      </c>
      <c r="R211" s="48">
        <v>1</v>
      </c>
      <c r="S211" s="120">
        <v>1</v>
      </c>
      <c r="T211" s="100" t="s">
        <v>174</v>
      </c>
      <c r="U211" s="70">
        <f t="shared" si="130"/>
        <v>1</v>
      </c>
      <c r="V211" s="48">
        <f t="shared" si="131"/>
        <v>0</v>
      </c>
      <c r="W211" s="48">
        <f t="shared" si="132"/>
        <v>1</v>
      </c>
      <c r="X211" s="61">
        <f t="shared" si="133"/>
        <v>0</v>
      </c>
      <c r="Y211" s="61">
        <f t="shared" si="129"/>
        <v>0</v>
      </c>
      <c r="Z211" s="61">
        <v>-1</v>
      </c>
      <c r="AA211" s="61" t="s">
        <v>0</v>
      </c>
      <c r="AB211" t="s">
        <v>528</v>
      </c>
      <c r="AD211" t="s">
        <v>525</v>
      </c>
    </row>
    <row r="212" spans="1:30" x14ac:dyDescent="0.25">
      <c r="C212" s="61">
        <f t="shared" si="138"/>
        <v>2014</v>
      </c>
      <c r="D212" s="6">
        <f t="shared" si="139"/>
        <v>2014</v>
      </c>
      <c r="E212" t="s">
        <v>527</v>
      </c>
      <c r="F212" s="51">
        <v>13</v>
      </c>
      <c r="G212" s="66" t="s">
        <v>733</v>
      </c>
      <c r="H212" s="66" t="s">
        <v>733</v>
      </c>
      <c r="I212" s="11">
        <v>11.3</v>
      </c>
      <c r="J212" s="66" t="s">
        <v>734</v>
      </c>
      <c r="K212" s="66" t="s">
        <v>734</v>
      </c>
      <c r="L212" s="66" t="s">
        <v>712</v>
      </c>
      <c r="M212" s="66" t="s">
        <v>188</v>
      </c>
      <c r="N212" s="66" t="s">
        <v>189</v>
      </c>
      <c r="O212" s="70">
        <v>1</v>
      </c>
      <c r="P212" s="48">
        <v>0</v>
      </c>
      <c r="Q212" s="48">
        <v>0</v>
      </c>
      <c r="R212" s="48">
        <v>1</v>
      </c>
      <c r="S212" s="120">
        <v>1</v>
      </c>
      <c r="T212" s="100" t="s">
        <v>174</v>
      </c>
      <c r="U212" s="70">
        <f t="shared" si="130"/>
        <v>1</v>
      </c>
      <c r="V212" s="48">
        <f t="shared" si="131"/>
        <v>0</v>
      </c>
      <c r="W212" s="48">
        <f t="shared" si="132"/>
        <v>1</v>
      </c>
      <c r="X212" s="61">
        <f t="shared" si="133"/>
        <v>0</v>
      </c>
      <c r="Y212" s="61">
        <f t="shared" si="129"/>
        <v>0</v>
      </c>
      <c r="Z212" s="61">
        <v>-1</v>
      </c>
      <c r="AA212" s="61" t="s">
        <v>0</v>
      </c>
      <c r="AB212" t="s">
        <v>533</v>
      </c>
      <c r="AD212" t="s">
        <v>534</v>
      </c>
    </row>
    <row r="213" spans="1:30" x14ac:dyDescent="0.25">
      <c r="C213" s="61">
        <f t="shared" si="138"/>
        <v>2014</v>
      </c>
      <c r="D213" s="6">
        <f t="shared" si="139"/>
        <v>2014</v>
      </c>
      <c r="E213" t="s">
        <v>523</v>
      </c>
      <c r="F213" s="51">
        <v>13</v>
      </c>
      <c r="G213" s="66" t="s">
        <v>733</v>
      </c>
      <c r="H213" s="66" t="s">
        <v>733</v>
      </c>
      <c r="I213" s="11">
        <v>11.3</v>
      </c>
      <c r="J213" s="66" t="s">
        <v>734</v>
      </c>
      <c r="K213" s="66" t="s">
        <v>734</v>
      </c>
      <c r="L213" s="66" t="s">
        <v>712</v>
      </c>
      <c r="M213" s="66" t="s">
        <v>188</v>
      </c>
      <c r="N213" s="66" t="s">
        <v>189</v>
      </c>
      <c r="O213" s="70">
        <v>1</v>
      </c>
      <c r="P213" s="48">
        <v>0</v>
      </c>
      <c r="Q213" s="48">
        <v>0</v>
      </c>
      <c r="R213" s="48">
        <v>1</v>
      </c>
      <c r="S213" s="120">
        <v>1</v>
      </c>
      <c r="T213" s="100" t="s">
        <v>174</v>
      </c>
      <c r="U213" s="70">
        <f t="shared" si="130"/>
        <v>1</v>
      </c>
      <c r="V213" s="48">
        <f t="shared" si="131"/>
        <v>0</v>
      </c>
      <c r="W213" s="48">
        <f t="shared" si="132"/>
        <v>1</v>
      </c>
      <c r="X213" s="61">
        <f t="shared" si="133"/>
        <v>0</v>
      </c>
      <c r="Y213" s="61">
        <f t="shared" si="129"/>
        <v>0</v>
      </c>
      <c r="Z213" s="61">
        <v>-1</v>
      </c>
      <c r="AA213" s="61" t="s">
        <v>0</v>
      </c>
      <c r="AB213" t="s">
        <v>536</v>
      </c>
      <c r="AD213" t="s">
        <v>534</v>
      </c>
    </row>
    <row r="214" spans="1:30" x14ac:dyDescent="0.25">
      <c r="C214" s="61">
        <f t="shared" ref="C214" si="140">C213</f>
        <v>2014</v>
      </c>
      <c r="D214" s="6">
        <f t="shared" si="139"/>
        <v>2014</v>
      </c>
      <c r="E214" s="176" t="s">
        <v>699</v>
      </c>
      <c r="F214" s="182">
        <v>13</v>
      </c>
      <c r="G214" s="66" t="s">
        <v>733</v>
      </c>
      <c r="H214" s="66" t="s">
        <v>733</v>
      </c>
      <c r="I214" s="183">
        <v>11.3</v>
      </c>
      <c r="J214" s="66" t="s">
        <v>734</v>
      </c>
      <c r="K214" s="66" t="s">
        <v>734</v>
      </c>
      <c r="L214" s="66" t="s">
        <v>712</v>
      </c>
      <c r="M214" s="66" t="s">
        <v>188</v>
      </c>
      <c r="N214" s="66" t="s">
        <v>189</v>
      </c>
      <c r="O214" s="70">
        <v>1</v>
      </c>
      <c r="P214" s="48">
        <v>1</v>
      </c>
      <c r="Q214" s="48">
        <v>0</v>
      </c>
      <c r="R214" s="48">
        <v>1</v>
      </c>
      <c r="S214" s="70">
        <v>1</v>
      </c>
      <c r="T214" s="97" t="s">
        <v>174</v>
      </c>
      <c r="U214" s="70">
        <f t="shared" si="130"/>
        <v>1</v>
      </c>
      <c r="V214" s="48">
        <f t="shared" si="131"/>
        <v>0</v>
      </c>
      <c r="W214" s="48">
        <f t="shared" si="132"/>
        <v>1</v>
      </c>
      <c r="X214" s="61">
        <f t="shared" si="133"/>
        <v>0</v>
      </c>
      <c r="Y214" s="61">
        <f t="shared" si="129"/>
        <v>0</v>
      </c>
      <c r="Z214" s="61">
        <v>-1</v>
      </c>
      <c r="AA214" s="61" t="s">
        <v>0</v>
      </c>
      <c r="AB214" s="54" t="s">
        <v>705</v>
      </c>
    </row>
    <row r="215" spans="1:30" x14ac:dyDescent="0.25">
      <c r="C215" s="61">
        <f t="shared" ref="C215" si="141">C214</f>
        <v>2014</v>
      </c>
      <c r="D215" s="6">
        <f t="shared" si="139"/>
        <v>2014</v>
      </c>
      <c r="E215" s="176" t="s">
        <v>700</v>
      </c>
      <c r="F215" s="182">
        <v>13</v>
      </c>
      <c r="G215" s="66" t="s">
        <v>733</v>
      </c>
      <c r="H215" s="66" t="s">
        <v>733</v>
      </c>
      <c r="I215" s="183">
        <v>11.3</v>
      </c>
      <c r="J215" s="66" t="s">
        <v>734</v>
      </c>
      <c r="K215" s="66" t="s">
        <v>734</v>
      </c>
      <c r="L215" s="66" t="s">
        <v>712</v>
      </c>
      <c r="M215" s="66" t="s">
        <v>188</v>
      </c>
      <c r="N215" s="66" t="s">
        <v>189</v>
      </c>
      <c r="O215" s="70">
        <v>1</v>
      </c>
      <c r="P215" s="48">
        <v>1</v>
      </c>
      <c r="Q215" s="48">
        <v>0</v>
      </c>
      <c r="R215" s="48">
        <v>1</v>
      </c>
      <c r="S215" s="70">
        <v>1</v>
      </c>
      <c r="T215" s="97" t="s">
        <v>174</v>
      </c>
      <c r="U215" s="70">
        <f t="shared" si="130"/>
        <v>1</v>
      </c>
      <c r="V215" s="48">
        <f t="shared" si="131"/>
        <v>0</v>
      </c>
      <c r="W215" s="48">
        <f t="shared" si="132"/>
        <v>1</v>
      </c>
      <c r="X215" s="61">
        <f t="shared" si="133"/>
        <v>0</v>
      </c>
      <c r="Y215" s="61">
        <f t="shared" si="129"/>
        <v>0</v>
      </c>
      <c r="Z215" s="61">
        <v>-1</v>
      </c>
      <c r="AA215" s="61" t="s">
        <v>0</v>
      </c>
      <c r="AB215" s="54" t="s">
        <v>706</v>
      </c>
    </row>
    <row r="216" spans="1:30" x14ac:dyDescent="0.25">
      <c r="C216" s="61">
        <f t="shared" ref="C216" si="142">C215</f>
        <v>2014</v>
      </c>
      <c r="D216" s="6">
        <f t="shared" si="139"/>
        <v>2014</v>
      </c>
      <c r="E216" s="176" t="s">
        <v>701</v>
      </c>
      <c r="F216" s="182">
        <v>13</v>
      </c>
      <c r="G216" s="66" t="s">
        <v>733</v>
      </c>
      <c r="H216" s="66" t="s">
        <v>733</v>
      </c>
      <c r="I216" s="183">
        <v>11.3</v>
      </c>
      <c r="J216" s="66" t="s">
        <v>734</v>
      </c>
      <c r="K216" s="66" t="s">
        <v>734</v>
      </c>
      <c r="L216" s="66" t="s">
        <v>712</v>
      </c>
      <c r="M216" s="66" t="s">
        <v>188</v>
      </c>
      <c r="N216" s="66" t="s">
        <v>189</v>
      </c>
      <c r="O216" s="70">
        <v>1</v>
      </c>
      <c r="P216" s="48">
        <v>1</v>
      </c>
      <c r="Q216" s="48">
        <v>0</v>
      </c>
      <c r="R216" s="48">
        <v>1</v>
      </c>
      <c r="S216" s="70">
        <v>1</v>
      </c>
      <c r="T216" s="97" t="s">
        <v>174</v>
      </c>
      <c r="U216" s="70">
        <f t="shared" si="130"/>
        <v>1</v>
      </c>
      <c r="V216" s="48">
        <f t="shared" si="131"/>
        <v>0</v>
      </c>
      <c r="W216" s="48">
        <f t="shared" si="132"/>
        <v>1</v>
      </c>
      <c r="X216" s="61">
        <f t="shared" si="133"/>
        <v>0</v>
      </c>
      <c r="Y216" s="61">
        <f t="shared" si="129"/>
        <v>0</v>
      </c>
      <c r="Z216" s="61">
        <v>-1</v>
      </c>
      <c r="AA216" s="61" t="s">
        <v>0</v>
      </c>
      <c r="AB216" s="54" t="s">
        <v>707</v>
      </c>
    </row>
    <row r="217" spans="1:30" x14ac:dyDescent="0.25">
      <c r="C217" s="61">
        <f t="shared" ref="C217" si="143">C216</f>
        <v>2014</v>
      </c>
      <c r="D217" s="6">
        <f t="shared" si="139"/>
        <v>2014</v>
      </c>
      <c r="E217" t="s">
        <v>177</v>
      </c>
      <c r="F217" s="67" t="s">
        <v>154</v>
      </c>
      <c r="G217" s="66" t="s">
        <v>733</v>
      </c>
      <c r="H217" s="66" t="s">
        <v>733</v>
      </c>
      <c r="I217" s="66" t="s">
        <v>155</v>
      </c>
      <c r="J217" s="66" t="s">
        <v>734</v>
      </c>
      <c r="K217" s="66" t="s">
        <v>734</v>
      </c>
      <c r="L217" s="10">
        <v>7</v>
      </c>
      <c r="M217" s="66" t="s">
        <v>188</v>
      </c>
      <c r="N217" s="66" t="s">
        <v>189</v>
      </c>
      <c r="O217" s="71">
        <v>1</v>
      </c>
      <c r="P217" s="49">
        <v>0</v>
      </c>
      <c r="Q217" s="49">
        <v>0</v>
      </c>
      <c r="R217" s="49">
        <v>0</v>
      </c>
      <c r="S217" s="120">
        <v>1</v>
      </c>
      <c r="T217" s="99" t="s">
        <v>174</v>
      </c>
      <c r="U217" s="70">
        <f t="shared" si="130"/>
        <v>0</v>
      </c>
      <c r="V217" s="48">
        <f t="shared" si="131"/>
        <v>0</v>
      </c>
      <c r="W217" s="48">
        <f t="shared" si="132"/>
        <v>0</v>
      </c>
      <c r="X217" s="61">
        <f t="shared" si="133"/>
        <v>0</v>
      </c>
      <c r="Y217" s="61">
        <f t="shared" si="129"/>
        <v>1</v>
      </c>
      <c r="Z217" s="61">
        <v>-1</v>
      </c>
      <c r="AA217" s="61" t="s">
        <v>0</v>
      </c>
      <c r="AB217" t="s">
        <v>119</v>
      </c>
    </row>
    <row r="218" spans="1:30" x14ac:dyDescent="0.25">
      <c r="C218" s="61">
        <f t="shared" ref="C218" si="144">C217</f>
        <v>2014</v>
      </c>
      <c r="D218" s="6">
        <f t="shared" si="139"/>
        <v>2014</v>
      </c>
      <c r="E218" t="s">
        <v>178</v>
      </c>
      <c r="F218" s="51">
        <v>13</v>
      </c>
      <c r="G218" s="66" t="s">
        <v>733</v>
      </c>
      <c r="H218" s="66" t="s">
        <v>733</v>
      </c>
      <c r="I218" s="11">
        <v>11.3</v>
      </c>
      <c r="J218" s="66" t="s">
        <v>734</v>
      </c>
      <c r="K218" s="66" t="s">
        <v>734</v>
      </c>
      <c r="L218" s="66" t="s">
        <v>712</v>
      </c>
      <c r="M218" s="66" t="s">
        <v>188</v>
      </c>
      <c r="N218" s="66" t="s">
        <v>189</v>
      </c>
      <c r="O218" s="70">
        <v>1</v>
      </c>
      <c r="P218" s="48">
        <v>1</v>
      </c>
      <c r="Q218" s="48">
        <v>1</v>
      </c>
      <c r="R218" s="48">
        <v>1</v>
      </c>
      <c r="S218" s="92">
        <v>0</v>
      </c>
      <c r="T218" s="97" t="s">
        <v>178</v>
      </c>
      <c r="U218" s="70">
        <f t="shared" si="130"/>
        <v>1</v>
      </c>
      <c r="V218" s="48">
        <f t="shared" si="131"/>
        <v>0</v>
      </c>
      <c r="W218" s="48">
        <f t="shared" si="132"/>
        <v>1</v>
      </c>
      <c r="X218" s="61">
        <f t="shared" si="133"/>
        <v>0</v>
      </c>
      <c r="Y218" s="61">
        <f t="shared" si="129"/>
        <v>0</v>
      </c>
      <c r="Z218" s="61">
        <v>-1</v>
      </c>
      <c r="AA218" s="61" t="s">
        <v>0</v>
      </c>
      <c r="AB218" t="s">
        <v>120</v>
      </c>
    </row>
    <row r="219" spans="1:30" x14ac:dyDescent="0.25">
      <c r="C219" s="61">
        <f t="shared" ref="C219" si="145">C218</f>
        <v>2014</v>
      </c>
      <c r="D219" s="6">
        <f t="shared" si="139"/>
        <v>2014</v>
      </c>
      <c r="E219" s="176" t="s">
        <v>682</v>
      </c>
      <c r="F219" s="67" t="s">
        <v>154</v>
      </c>
      <c r="G219" s="66" t="s">
        <v>733</v>
      </c>
      <c r="H219" s="66" t="s">
        <v>733</v>
      </c>
      <c r="I219" s="177">
        <v>7.6</v>
      </c>
      <c r="J219" s="66" t="s">
        <v>734</v>
      </c>
      <c r="K219" s="66" t="s">
        <v>734</v>
      </c>
      <c r="L219" s="66" t="s">
        <v>712</v>
      </c>
      <c r="M219" s="66" t="s">
        <v>188</v>
      </c>
      <c r="N219" s="66" t="s">
        <v>189</v>
      </c>
      <c r="O219" s="70">
        <v>1</v>
      </c>
      <c r="P219" s="48">
        <v>0</v>
      </c>
      <c r="Q219" s="48">
        <v>1</v>
      </c>
      <c r="R219" s="48">
        <v>0</v>
      </c>
      <c r="S219" s="70">
        <v>0</v>
      </c>
      <c r="T219" s="97" t="s">
        <v>178</v>
      </c>
      <c r="U219" s="70">
        <f t="shared" si="130"/>
        <v>0</v>
      </c>
      <c r="V219" s="48">
        <f t="shared" si="131"/>
        <v>0</v>
      </c>
      <c r="W219" s="48">
        <f t="shared" si="132"/>
        <v>1</v>
      </c>
      <c r="X219" s="61">
        <f t="shared" si="133"/>
        <v>0</v>
      </c>
      <c r="Y219" s="61">
        <f t="shared" si="129"/>
        <v>0</v>
      </c>
      <c r="Z219" s="61">
        <v>-1</v>
      </c>
      <c r="AA219" s="61" t="s">
        <v>0</v>
      </c>
      <c r="AB219" s="54" t="s">
        <v>684</v>
      </c>
    </row>
    <row r="220" spans="1:30" x14ac:dyDescent="0.25">
      <c r="C220" s="61">
        <f t="shared" ref="C220" si="146">C219</f>
        <v>2014</v>
      </c>
      <c r="D220" s="6">
        <f t="shared" si="139"/>
        <v>2014</v>
      </c>
      <c r="E220" s="176" t="s">
        <v>683</v>
      </c>
      <c r="F220" s="67" t="s">
        <v>154</v>
      </c>
      <c r="G220" s="66" t="s">
        <v>733</v>
      </c>
      <c r="H220" s="66" t="s">
        <v>733</v>
      </c>
      <c r="I220" s="177">
        <v>10</v>
      </c>
      <c r="J220" s="66" t="s">
        <v>734</v>
      </c>
      <c r="K220" s="66" t="s">
        <v>734</v>
      </c>
      <c r="L220" s="66" t="s">
        <v>712</v>
      </c>
      <c r="M220" s="66" t="s">
        <v>188</v>
      </c>
      <c r="N220" s="66" t="s">
        <v>189</v>
      </c>
      <c r="O220" s="70">
        <v>1</v>
      </c>
      <c r="P220" s="48">
        <v>0</v>
      </c>
      <c r="Q220" s="48">
        <v>1</v>
      </c>
      <c r="R220" s="48">
        <v>0</v>
      </c>
      <c r="S220" s="70">
        <v>0</v>
      </c>
      <c r="T220" s="97" t="s">
        <v>178</v>
      </c>
      <c r="U220" s="70">
        <f t="shared" si="130"/>
        <v>0</v>
      </c>
      <c r="V220" s="48">
        <f t="shared" si="131"/>
        <v>0</v>
      </c>
      <c r="W220" s="48">
        <f t="shared" si="132"/>
        <v>1</v>
      </c>
      <c r="X220" s="61">
        <f t="shared" si="133"/>
        <v>0</v>
      </c>
      <c r="Y220" s="61">
        <f t="shared" si="129"/>
        <v>0</v>
      </c>
      <c r="Z220" s="61">
        <v>-1</v>
      </c>
      <c r="AA220" s="61" t="s">
        <v>0</v>
      </c>
      <c r="AB220" s="54" t="s">
        <v>685</v>
      </c>
    </row>
    <row r="221" spans="1:30" x14ac:dyDescent="0.25">
      <c r="C221" s="61">
        <f t="shared" ref="C221" si="147">C220</f>
        <v>2014</v>
      </c>
      <c r="D221" s="6">
        <f t="shared" si="139"/>
        <v>2014</v>
      </c>
      <c r="E221" t="s">
        <v>179</v>
      </c>
      <c r="F221" s="51">
        <v>13</v>
      </c>
      <c r="G221" s="66" t="s">
        <v>733</v>
      </c>
      <c r="H221" s="66" t="s">
        <v>733</v>
      </c>
      <c r="I221" s="11">
        <v>11.3</v>
      </c>
      <c r="J221" s="66" t="s">
        <v>734</v>
      </c>
      <c r="K221" s="66" t="s">
        <v>734</v>
      </c>
      <c r="L221" s="66" t="s">
        <v>712</v>
      </c>
      <c r="M221" s="66" t="s">
        <v>188</v>
      </c>
      <c r="N221" s="66" t="s">
        <v>189</v>
      </c>
      <c r="O221" s="71">
        <v>1</v>
      </c>
      <c r="P221" s="48">
        <v>1</v>
      </c>
      <c r="Q221" s="48">
        <v>1</v>
      </c>
      <c r="R221" s="48">
        <v>1</v>
      </c>
      <c r="S221" s="92">
        <v>0</v>
      </c>
      <c r="T221" s="97" t="s">
        <v>178</v>
      </c>
      <c r="U221" s="70">
        <f t="shared" si="130"/>
        <v>1</v>
      </c>
      <c r="V221" s="48">
        <f t="shared" si="131"/>
        <v>0</v>
      </c>
      <c r="W221" s="48">
        <f t="shared" si="132"/>
        <v>1</v>
      </c>
      <c r="X221" s="61">
        <f t="shared" si="133"/>
        <v>0</v>
      </c>
      <c r="Y221" s="61">
        <f t="shared" si="129"/>
        <v>0</v>
      </c>
      <c r="Z221" s="61">
        <v>-1</v>
      </c>
      <c r="AA221" s="61" t="s">
        <v>0</v>
      </c>
      <c r="AB221" t="s">
        <v>121</v>
      </c>
    </row>
    <row r="222" spans="1:30" x14ac:dyDescent="0.25">
      <c r="C222" s="61">
        <f t="shared" ref="C222" si="148">C221</f>
        <v>2014</v>
      </c>
      <c r="D222" s="6">
        <f t="shared" si="139"/>
        <v>2014</v>
      </c>
      <c r="E222" t="s">
        <v>180</v>
      </c>
      <c r="F222" s="67" t="s">
        <v>154</v>
      </c>
      <c r="G222" s="66" t="s">
        <v>733</v>
      </c>
      <c r="H222" s="66" t="s">
        <v>733</v>
      </c>
      <c r="I222" s="11">
        <v>0</v>
      </c>
      <c r="J222" s="66" t="s">
        <v>734</v>
      </c>
      <c r="K222" s="66" t="s">
        <v>734</v>
      </c>
      <c r="L222" s="66" t="s">
        <v>712</v>
      </c>
      <c r="M222" s="66" t="s">
        <v>188</v>
      </c>
      <c r="N222" s="66" t="s">
        <v>189</v>
      </c>
      <c r="O222" s="71">
        <v>0</v>
      </c>
      <c r="P222" s="48">
        <v>1</v>
      </c>
      <c r="Q222" s="48">
        <v>1</v>
      </c>
      <c r="R222" s="48">
        <v>1</v>
      </c>
      <c r="S222" s="92">
        <v>0</v>
      </c>
      <c r="T222" s="97" t="s">
        <v>178</v>
      </c>
      <c r="U222" s="70">
        <f t="shared" si="130"/>
        <v>0</v>
      </c>
      <c r="V222" s="48">
        <f t="shared" si="131"/>
        <v>0</v>
      </c>
      <c r="W222" s="48">
        <f t="shared" si="132"/>
        <v>0</v>
      </c>
      <c r="X222" s="61">
        <f t="shared" si="133"/>
        <v>0</v>
      </c>
      <c r="Y222" s="61">
        <f t="shared" si="129"/>
        <v>0</v>
      </c>
      <c r="Z222" s="61">
        <v>-1</v>
      </c>
      <c r="AA222" s="61" t="s">
        <v>0</v>
      </c>
      <c r="AB222" t="s">
        <v>122</v>
      </c>
    </row>
    <row r="223" spans="1:30" x14ac:dyDescent="0.25">
      <c r="A223" t="s">
        <v>0</v>
      </c>
      <c r="C223" s="61">
        <f t="shared" ref="C223" si="149">C222</f>
        <v>2014</v>
      </c>
      <c r="D223" s="6">
        <f t="shared" si="139"/>
        <v>2014</v>
      </c>
      <c r="E223" s="24" t="s">
        <v>181</v>
      </c>
      <c r="F223" s="67" t="s">
        <v>154</v>
      </c>
      <c r="G223" s="66" t="s">
        <v>733</v>
      </c>
      <c r="H223" s="66" t="s">
        <v>733</v>
      </c>
      <c r="I223" s="66" t="s">
        <v>155</v>
      </c>
      <c r="J223" s="66" t="s">
        <v>734</v>
      </c>
      <c r="K223" s="66" t="s">
        <v>734</v>
      </c>
      <c r="L223" s="66" t="s">
        <v>712</v>
      </c>
      <c r="M223" s="11">
        <v>0</v>
      </c>
      <c r="N223" s="11">
        <v>0</v>
      </c>
      <c r="O223" s="71">
        <v>0</v>
      </c>
      <c r="P223" s="53">
        <v>1</v>
      </c>
      <c r="Q223" s="48">
        <v>0</v>
      </c>
      <c r="R223" s="48">
        <v>1</v>
      </c>
      <c r="S223" s="92">
        <v>0</v>
      </c>
      <c r="T223" s="98" t="s">
        <v>227</v>
      </c>
      <c r="U223" s="70">
        <f t="shared" si="130"/>
        <v>0</v>
      </c>
      <c r="V223" s="48">
        <f t="shared" si="131"/>
        <v>0</v>
      </c>
      <c r="W223" s="48">
        <f t="shared" si="132"/>
        <v>0</v>
      </c>
      <c r="X223" s="61">
        <f t="shared" si="133"/>
        <v>0</v>
      </c>
      <c r="Y223" s="61">
        <f t="shared" si="129"/>
        <v>0</v>
      </c>
      <c r="Z223" s="61">
        <v>-1</v>
      </c>
      <c r="AA223" s="61" t="s">
        <v>0</v>
      </c>
      <c r="AB223" t="s">
        <v>123</v>
      </c>
      <c r="AD223" s="119" t="s">
        <v>363</v>
      </c>
    </row>
    <row r="224" spans="1:30" x14ac:dyDescent="0.25">
      <c r="C224" s="61">
        <f t="shared" ref="C224" si="150">C223</f>
        <v>2014</v>
      </c>
      <c r="D224" s="6">
        <f t="shared" si="139"/>
        <v>2014</v>
      </c>
      <c r="E224" t="s">
        <v>511</v>
      </c>
      <c r="F224" s="51">
        <v>13</v>
      </c>
      <c r="G224" s="66" t="s">
        <v>733</v>
      </c>
      <c r="H224" s="66" t="s">
        <v>733</v>
      </c>
      <c r="I224" s="11">
        <v>11.3</v>
      </c>
      <c r="J224" s="66" t="s">
        <v>734</v>
      </c>
      <c r="K224" s="66" t="s">
        <v>734</v>
      </c>
      <c r="L224" s="66" t="s">
        <v>712</v>
      </c>
      <c r="M224" s="66" t="s">
        <v>188</v>
      </c>
      <c r="N224" s="66" t="s">
        <v>189</v>
      </c>
      <c r="O224" s="70">
        <v>1</v>
      </c>
      <c r="P224" s="48">
        <v>1</v>
      </c>
      <c r="Q224" s="48">
        <v>1</v>
      </c>
      <c r="R224" s="48">
        <v>1</v>
      </c>
      <c r="S224" s="92">
        <v>0</v>
      </c>
      <c r="T224" s="97" t="s">
        <v>178</v>
      </c>
      <c r="U224" s="70">
        <f t="shared" si="130"/>
        <v>1</v>
      </c>
      <c r="V224" s="48">
        <f t="shared" si="131"/>
        <v>0</v>
      </c>
      <c r="W224" s="48">
        <f t="shared" si="132"/>
        <v>1</v>
      </c>
      <c r="X224" s="61">
        <f t="shared" si="133"/>
        <v>0</v>
      </c>
      <c r="Y224" s="61">
        <f t="shared" si="129"/>
        <v>0</v>
      </c>
      <c r="Z224" s="61">
        <v>-1</v>
      </c>
      <c r="AA224" s="61" t="s">
        <v>0</v>
      </c>
      <c r="AB224" t="s">
        <v>517</v>
      </c>
    </row>
    <row r="225" spans="3:33" x14ac:dyDescent="0.25">
      <c r="C225" s="61">
        <f t="shared" ref="C225" si="151">C224</f>
        <v>2014</v>
      </c>
      <c r="D225" s="6">
        <f t="shared" si="139"/>
        <v>2014</v>
      </c>
      <c r="E225" t="s">
        <v>530</v>
      </c>
      <c r="F225" s="63">
        <v>13</v>
      </c>
      <c r="G225" s="66" t="s">
        <v>733</v>
      </c>
      <c r="H225" s="66" t="s">
        <v>733</v>
      </c>
      <c r="I225" s="11">
        <v>11.3</v>
      </c>
      <c r="J225" s="66" t="s">
        <v>734</v>
      </c>
      <c r="K225" s="66" t="s">
        <v>734</v>
      </c>
      <c r="L225" s="66" t="s">
        <v>712</v>
      </c>
      <c r="M225" s="66" t="s">
        <v>188</v>
      </c>
      <c r="N225" s="66" t="s">
        <v>189</v>
      </c>
      <c r="O225" s="71">
        <v>1</v>
      </c>
      <c r="P225" s="48">
        <v>0</v>
      </c>
      <c r="Q225" s="48">
        <v>1</v>
      </c>
      <c r="R225" s="48">
        <v>1</v>
      </c>
      <c r="S225" s="120">
        <v>1</v>
      </c>
      <c r="T225" s="100" t="s">
        <v>178</v>
      </c>
      <c r="U225" s="70">
        <f t="shared" si="130"/>
        <v>1</v>
      </c>
      <c r="V225" s="48">
        <f t="shared" si="131"/>
        <v>0</v>
      </c>
      <c r="W225" s="48">
        <f t="shared" si="132"/>
        <v>1</v>
      </c>
      <c r="X225" s="61">
        <f t="shared" si="133"/>
        <v>0</v>
      </c>
      <c r="Y225" s="61">
        <f t="shared" si="129"/>
        <v>0</v>
      </c>
      <c r="Z225" s="61">
        <v>-1</v>
      </c>
      <c r="AA225" s="61" t="s">
        <v>0</v>
      </c>
      <c r="AB225" t="s">
        <v>529</v>
      </c>
      <c r="AD225" t="s">
        <v>525</v>
      </c>
    </row>
    <row r="226" spans="3:33" x14ac:dyDescent="0.25">
      <c r="C226" s="61">
        <f t="shared" ref="C226" si="152">C225</f>
        <v>2014</v>
      </c>
      <c r="D226" s="6">
        <f t="shared" si="139"/>
        <v>2014</v>
      </c>
      <c r="E226" t="s">
        <v>531</v>
      </c>
      <c r="F226" s="63">
        <v>13</v>
      </c>
      <c r="G226" s="66" t="s">
        <v>733</v>
      </c>
      <c r="H226" s="66" t="s">
        <v>733</v>
      </c>
      <c r="I226" s="11">
        <v>11.3</v>
      </c>
      <c r="J226" s="66" t="s">
        <v>734</v>
      </c>
      <c r="K226" s="66" t="s">
        <v>734</v>
      </c>
      <c r="L226" s="66" t="s">
        <v>712</v>
      </c>
      <c r="M226" s="66" t="s">
        <v>188</v>
      </c>
      <c r="N226" s="66" t="s">
        <v>189</v>
      </c>
      <c r="O226" s="71">
        <v>1</v>
      </c>
      <c r="P226" s="48">
        <v>0</v>
      </c>
      <c r="Q226" s="48">
        <v>1</v>
      </c>
      <c r="R226" s="48">
        <v>1</v>
      </c>
      <c r="S226" s="120">
        <v>1</v>
      </c>
      <c r="T226" s="100" t="s">
        <v>178</v>
      </c>
      <c r="U226" s="70">
        <f t="shared" si="130"/>
        <v>1</v>
      </c>
      <c r="V226" s="48">
        <f t="shared" si="131"/>
        <v>0</v>
      </c>
      <c r="W226" s="48">
        <f t="shared" si="132"/>
        <v>1</v>
      </c>
      <c r="X226" s="61">
        <f t="shared" si="133"/>
        <v>0</v>
      </c>
      <c r="Y226" s="61">
        <f t="shared" si="129"/>
        <v>0</v>
      </c>
      <c r="Z226" s="61">
        <v>-1</v>
      </c>
      <c r="AA226" s="61" t="s">
        <v>0</v>
      </c>
      <c r="AB226" t="s">
        <v>532</v>
      </c>
      <c r="AD226" t="s">
        <v>534</v>
      </c>
    </row>
    <row r="227" spans="3:33" x14ac:dyDescent="0.25">
      <c r="C227" s="61">
        <f t="shared" ref="C227" si="153">C226</f>
        <v>2014</v>
      </c>
      <c r="D227" s="6">
        <f t="shared" si="139"/>
        <v>2014</v>
      </c>
      <c r="E227" t="s">
        <v>520</v>
      </c>
      <c r="F227" s="63">
        <v>13</v>
      </c>
      <c r="G227" s="66" t="s">
        <v>733</v>
      </c>
      <c r="H227" s="66" t="s">
        <v>733</v>
      </c>
      <c r="I227" s="11">
        <v>11.3</v>
      </c>
      <c r="J227" s="66" t="s">
        <v>734</v>
      </c>
      <c r="K227" s="66" t="s">
        <v>734</v>
      </c>
      <c r="L227" s="66" t="s">
        <v>712</v>
      </c>
      <c r="M227" s="66" t="s">
        <v>188</v>
      </c>
      <c r="N227" s="66" t="s">
        <v>189</v>
      </c>
      <c r="O227" s="71">
        <v>1</v>
      </c>
      <c r="P227" s="48">
        <v>0</v>
      </c>
      <c r="Q227" s="48">
        <v>1</v>
      </c>
      <c r="R227" s="48">
        <v>1</v>
      </c>
      <c r="S227" s="120">
        <v>1</v>
      </c>
      <c r="T227" s="100" t="s">
        <v>178</v>
      </c>
      <c r="U227" s="70">
        <f t="shared" si="130"/>
        <v>1</v>
      </c>
      <c r="V227" s="48">
        <f t="shared" si="131"/>
        <v>0</v>
      </c>
      <c r="W227" s="48">
        <f t="shared" si="132"/>
        <v>1</v>
      </c>
      <c r="X227" s="61">
        <f t="shared" si="133"/>
        <v>0</v>
      </c>
      <c r="Y227" s="61">
        <f t="shared" si="129"/>
        <v>0</v>
      </c>
      <c r="Z227" s="61">
        <v>-1</v>
      </c>
      <c r="AA227" s="61" t="s">
        <v>0</v>
      </c>
      <c r="AB227" t="s">
        <v>535</v>
      </c>
      <c r="AD227" t="s">
        <v>534</v>
      </c>
    </row>
    <row r="228" spans="3:33" x14ac:dyDescent="0.25">
      <c r="C228" s="61">
        <f t="shared" ref="C228" si="154">C227</f>
        <v>2014</v>
      </c>
      <c r="D228" s="6">
        <f t="shared" si="139"/>
        <v>2014</v>
      </c>
      <c r="E228" s="176" t="s">
        <v>686</v>
      </c>
      <c r="F228" s="182">
        <v>13</v>
      </c>
      <c r="G228" s="66" t="s">
        <v>733</v>
      </c>
      <c r="H228" s="66" t="s">
        <v>733</v>
      </c>
      <c r="I228" s="183">
        <v>11.3</v>
      </c>
      <c r="J228" s="66" t="s">
        <v>734</v>
      </c>
      <c r="K228" s="66" t="s">
        <v>734</v>
      </c>
      <c r="L228" s="66" t="s">
        <v>712</v>
      </c>
      <c r="M228" s="66" t="s">
        <v>188</v>
      </c>
      <c r="N228" s="66" t="s">
        <v>189</v>
      </c>
      <c r="O228" s="71">
        <v>1</v>
      </c>
      <c r="P228" s="48">
        <v>1</v>
      </c>
      <c r="Q228" s="48">
        <v>1</v>
      </c>
      <c r="R228" s="48">
        <v>1</v>
      </c>
      <c r="S228" s="70">
        <v>1</v>
      </c>
      <c r="T228" s="97" t="s">
        <v>178</v>
      </c>
      <c r="U228" s="70">
        <f t="shared" ref="U228:U230" si="155">IF(AND(ISNUMBER(F228), F228&gt;0), 1, 0)</f>
        <v>1</v>
      </c>
      <c r="V228" s="48">
        <f t="shared" ref="V228:V243" si="156">IF(AND(ISNUMBER(G228), G228&gt;0), 1, 0)</f>
        <v>0</v>
      </c>
      <c r="W228" s="48">
        <f t="shared" ref="W228:W230" si="157">IF(AND(ISNUMBER(I228), I228&gt;0), 1, 0)</f>
        <v>1</v>
      </c>
      <c r="X228" s="61">
        <f t="shared" si="133"/>
        <v>0</v>
      </c>
      <c r="Y228" s="61">
        <f t="shared" si="129"/>
        <v>0</v>
      </c>
      <c r="Z228" s="61">
        <v>-1</v>
      </c>
      <c r="AA228" s="61" t="s">
        <v>0</v>
      </c>
      <c r="AB228" s="54" t="s">
        <v>689</v>
      </c>
    </row>
    <row r="229" spans="3:33" x14ac:dyDescent="0.25">
      <c r="C229" s="61">
        <f t="shared" ref="C229" si="158">C228</f>
        <v>2014</v>
      </c>
      <c r="D229" s="6">
        <f t="shared" si="139"/>
        <v>2014</v>
      </c>
      <c r="E229" s="176" t="s">
        <v>687</v>
      </c>
      <c r="F229" s="182">
        <v>13</v>
      </c>
      <c r="G229" s="66" t="s">
        <v>733</v>
      </c>
      <c r="H229" s="66" t="s">
        <v>733</v>
      </c>
      <c r="I229" s="183">
        <v>11.3</v>
      </c>
      <c r="J229" s="66" t="s">
        <v>734</v>
      </c>
      <c r="K229" s="66" t="s">
        <v>734</v>
      </c>
      <c r="L229" s="66" t="s">
        <v>712</v>
      </c>
      <c r="M229" s="66" t="s">
        <v>188</v>
      </c>
      <c r="N229" s="66" t="s">
        <v>189</v>
      </c>
      <c r="O229" s="71">
        <v>1</v>
      </c>
      <c r="P229" s="48">
        <v>1</v>
      </c>
      <c r="Q229" s="48">
        <v>1</v>
      </c>
      <c r="R229" s="48">
        <v>1</v>
      </c>
      <c r="S229" s="70">
        <v>1</v>
      </c>
      <c r="T229" s="97" t="s">
        <v>178</v>
      </c>
      <c r="U229" s="70">
        <f t="shared" si="155"/>
        <v>1</v>
      </c>
      <c r="V229" s="48">
        <f t="shared" si="156"/>
        <v>0</v>
      </c>
      <c r="W229" s="48">
        <f t="shared" si="157"/>
        <v>1</v>
      </c>
      <c r="X229" s="61">
        <f t="shared" si="133"/>
        <v>0</v>
      </c>
      <c r="Y229" s="61">
        <f t="shared" si="129"/>
        <v>0</v>
      </c>
      <c r="Z229" s="61">
        <v>-1</v>
      </c>
      <c r="AA229" s="61" t="s">
        <v>0</v>
      </c>
      <c r="AB229" s="54" t="s">
        <v>690</v>
      </c>
    </row>
    <row r="230" spans="3:33" x14ac:dyDescent="0.25">
      <c r="C230" s="61">
        <f t="shared" ref="C230" si="159">C229</f>
        <v>2014</v>
      </c>
      <c r="D230" s="6">
        <f t="shared" si="139"/>
        <v>2014</v>
      </c>
      <c r="E230" s="176" t="s">
        <v>688</v>
      </c>
      <c r="F230" s="182">
        <v>13</v>
      </c>
      <c r="G230" s="66" t="s">
        <v>733</v>
      </c>
      <c r="H230" s="66" t="s">
        <v>733</v>
      </c>
      <c r="I230" s="183">
        <v>11.3</v>
      </c>
      <c r="J230" s="66" t="s">
        <v>734</v>
      </c>
      <c r="K230" s="66" t="s">
        <v>734</v>
      </c>
      <c r="L230" s="66" t="s">
        <v>712</v>
      </c>
      <c r="M230" s="66" t="s">
        <v>188</v>
      </c>
      <c r="N230" s="66" t="s">
        <v>189</v>
      </c>
      <c r="O230" s="71">
        <v>1</v>
      </c>
      <c r="P230" s="48">
        <v>1</v>
      </c>
      <c r="Q230" s="48">
        <v>1</v>
      </c>
      <c r="R230" s="48">
        <v>1</v>
      </c>
      <c r="S230" s="70">
        <v>1</v>
      </c>
      <c r="T230" s="97" t="s">
        <v>178</v>
      </c>
      <c r="U230" s="70">
        <f t="shared" si="155"/>
        <v>1</v>
      </c>
      <c r="V230" s="48">
        <f t="shared" si="156"/>
        <v>0</v>
      </c>
      <c r="W230" s="48">
        <f t="shared" si="157"/>
        <v>1</v>
      </c>
      <c r="X230" s="61">
        <f t="shared" si="133"/>
        <v>0</v>
      </c>
      <c r="Y230" s="61">
        <f t="shared" si="129"/>
        <v>0</v>
      </c>
      <c r="Z230" s="61">
        <v>-1</v>
      </c>
      <c r="AA230" s="61" t="s">
        <v>0</v>
      </c>
      <c r="AB230" s="54" t="s">
        <v>691</v>
      </c>
    </row>
    <row r="231" spans="3:33" x14ac:dyDescent="0.25">
      <c r="C231" s="61">
        <f t="shared" ref="C231" si="160">C230</f>
        <v>2014</v>
      </c>
      <c r="D231" s="6">
        <f t="shared" si="139"/>
        <v>2014</v>
      </c>
      <c r="E231" t="s">
        <v>182</v>
      </c>
      <c r="F231" s="67" t="s">
        <v>154</v>
      </c>
      <c r="G231" s="66" t="s">
        <v>733</v>
      </c>
      <c r="H231" s="66" t="s">
        <v>733</v>
      </c>
      <c r="I231" s="66" t="s">
        <v>155</v>
      </c>
      <c r="J231" s="66" t="s">
        <v>734</v>
      </c>
      <c r="K231" s="66" t="s">
        <v>734</v>
      </c>
      <c r="L231" s="10">
        <v>6.7</v>
      </c>
      <c r="M231" s="66" t="s">
        <v>188</v>
      </c>
      <c r="N231" s="66" t="s">
        <v>189</v>
      </c>
      <c r="O231" s="71">
        <v>1</v>
      </c>
      <c r="P231" s="48">
        <v>0</v>
      </c>
      <c r="Q231" s="48">
        <v>1</v>
      </c>
      <c r="R231" s="48">
        <v>0</v>
      </c>
      <c r="S231" s="120">
        <v>1</v>
      </c>
      <c r="T231" s="100" t="s">
        <v>178</v>
      </c>
      <c r="U231" s="70">
        <f t="shared" si="130"/>
        <v>0</v>
      </c>
      <c r="V231" s="48">
        <f t="shared" si="156"/>
        <v>0</v>
      </c>
      <c r="W231" s="48">
        <f t="shared" ref="W231:W235" si="161">IF(AND(ISNUMBER(I231), I231&gt;0), 1, 0)</f>
        <v>0</v>
      </c>
      <c r="X231" s="61">
        <f t="shared" si="133"/>
        <v>0</v>
      </c>
      <c r="Y231" s="61">
        <f t="shared" si="129"/>
        <v>1</v>
      </c>
      <c r="Z231" s="61">
        <v>-1</v>
      </c>
      <c r="AA231" s="61" t="s">
        <v>0</v>
      </c>
      <c r="AB231" t="s">
        <v>124</v>
      </c>
    </row>
    <row r="232" spans="3:33" x14ac:dyDescent="0.25">
      <c r="C232" s="61">
        <f t="shared" ref="C232:C234" si="162">C231</f>
        <v>2014</v>
      </c>
      <c r="D232" s="6">
        <f t="shared" si="139"/>
        <v>2014</v>
      </c>
      <c r="E232" t="s">
        <v>367</v>
      </c>
      <c r="F232" s="63">
        <v>13</v>
      </c>
      <c r="G232" s="66" t="s">
        <v>733</v>
      </c>
      <c r="H232" s="66" t="s">
        <v>733</v>
      </c>
      <c r="I232" s="11">
        <v>11.3</v>
      </c>
      <c r="J232" s="66" t="s">
        <v>734</v>
      </c>
      <c r="K232" s="66" t="s">
        <v>734</v>
      </c>
      <c r="L232" s="66" t="s">
        <v>712</v>
      </c>
      <c r="M232" s="66" t="s">
        <v>188</v>
      </c>
      <c r="N232" s="66" t="s">
        <v>189</v>
      </c>
      <c r="O232" s="70">
        <v>1</v>
      </c>
      <c r="P232" s="48">
        <v>-1</v>
      </c>
      <c r="Q232" s="48">
        <v>1</v>
      </c>
      <c r="R232" s="48">
        <v>1</v>
      </c>
      <c r="S232" s="120">
        <v>1</v>
      </c>
      <c r="T232" s="97" t="s">
        <v>178</v>
      </c>
      <c r="U232" s="70">
        <f t="shared" si="130"/>
        <v>1</v>
      </c>
      <c r="V232" s="48">
        <f t="shared" si="156"/>
        <v>0</v>
      </c>
      <c r="W232" s="48">
        <f t="shared" si="161"/>
        <v>1</v>
      </c>
      <c r="X232" s="61">
        <f t="shared" si="133"/>
        <v>0</v>
      </c>
      <c r="Y232" s="61">
        <f t="shared" si="129"/>
        <v>0</v>
      </c>
      <c r="Z232" s="61">
        <v>-1</v>
      </c>
      <c r="AA232" s="61" t="s">
        <v>0</v>
      </c>
      <c r="AB232" t="s">
        <v>368</v>
      </c>
    </row>
    <row r="233" spans="3:33" x14ac:dyDescent="0.25">
      <c r="C233" s="61">
        <f t="shared" si="162"/>
        <v>2014</v>
      </c>
      <c r="D233" s="6">
        <f t="shared" si="139"/>
        <v>2014</v>
      </c>
      <c r="E233" t="s">
        <v>801</v>
      </c>
      <c r="F233" s="63">
        <v>13</v>
      </c>
      <c r="G233" s="66" t="s">
        <v>733</v>
      </c>
      <c r="H233" s="66" t="s">
        <v>733</v>
      </c>
      <c r="I233" s="11">
        <v>11.3</v>
      </c>
      <c r="J233" s="66" t="s">
        <v>734</v>
      </c>
      <c r="K233" s="66" t="s">
        <v>734</v>
      </c>
      <c r="L233" s="66" t="s">
        <v>712</v>
      </c>
      <c r="M233" s="66" t="s">
        <v>188</v>
      </c>
      <c r="N233" s="66" t="s">
        <v>189</v>
      </c>
      <c r="O233" s="70">
        <v>1</v>
      </c>
      <c r="P233" s="48">
        <v>-1</v>
      </c>
      <c r="Q233" s="48">
        <v>1</v>
      </c>
      <c r="R233" s="48">
        <v>1</v>
      </c>
      <c r="S233" s="120">
        <v>1</v>
      </c>
      <c r="T233" s="97" t="s">
        <v>178</v>
      </c>
      <c r="U233" s="70">
        <f t="shared" ref="U233" si="163">IF(AND(ISNUMBER(F233), F233&gt;0), 1, 0)</f>
        <v>1</v>
      </c>
      <c r="V233" s="48">
        <f t="shared" ref="V233" si="164">IF(AND(ISNUMBER(G233), G233&gt;0), 1, 0)</f>
        <v>0</v>
      </c>
      <c r="W233" s="48">
        <f t="shared" ref="W233" si="165">IF(AND(ISNUMBER(I233), I233&gt;0), 1, 0)</f>
        <v>1</v>
      </c>
      <c r="X233" s="61">
        <f t="shared" ref="X233" si="166">IF(AND(ISNUMBER(J233), J233&gt;0), 1, 0)</f>
        <v>0</v>
      </c>
      <c r="Y233" s="61">
        <f t="shared" ref="Y233" si="167">IF(AND(ISNUMBER(L233), L233&gt;0), 1, 0)</f>
        <v>0</v>
      </c>
      <c r="Z233" s="61">
        <v>-1</v>
      </c>
      <c r="AA233" s="61" t="s">
        <v>0</v>
      </c>
      <c r="AB233" s="54" t="s">
        <v>802</v>
      </c>
      <c r="AD233" t="s">
        <v>804</v>
      </c>
    </row>
    <row r="234" spans="3:33" x14ac:dyDescent="0.25">
      <c r="C234" s="61">
        <f t="shared" si="162"/>
        <v>2014</v>
      </c>
      <c r="D234" s="6">
        <f t="shared" si="139"/>
        <v>2014</v>
      </c>
      <c r="E234" t="s">
        <v>366</v>
      </c>
      <c r="F234" s="63">
        <v>13</v>
      </c>
      <c r="G234" s="66" t="s">
        <v>733</v>
      </c>
      <c r="H234" s="66" t="s">
        <v>733</v>
      </c>
      <c r="I234" s="11">
        <v>11.3</v>
      </c>
      <c r="J234" s="66" t="s">
        <v>734</v>
      </c>
      <c r="K234" s="66" t="s">
        <v>734</v>
      </c>
      <c r="L234" s="66" t="s">
        <v>712</v>
      </c>
      <c r="M234" s="66" t="s">
        <v>188</v>
      </c>
      <c r="N234" s="66" t="s">
        <v>189</v>
      </c>
      <c r="O234" s="70">
        <v>1</v>
      </c>
      <c r="P234" s="48">
        <v>-1</v>
      </c>
      <c r="Q234" s="48">
        <v>1</v>
      </c>
      <c r="R234" s="48">
        <v>1</v>
      </c>
      <c r="S234" s="120">
        <v>1</v>
      </c>
      <c r="T234" s="97" t="s">
        <v>178</v>
      </c>
      <c r="U234" s="70">
        <f t="shared" si="130"/>
        <v>1</v>
      </c>
      <c r="V234" s="48">
        <f t="shared" si="156"/>
        <v>0</v>
      </c>
      <c r="W234" s="48">
        <f t="shared" si="161"/>
        <v>1</v>
      </c>
      <c r="X234" s="61">
        <f t="shared" si="133"/>
        <v>0</v>
      </c>
      <c r="Y234" s="61">
        <f t="shared" si="129"/>
        <v>0</v>
      </c>
      <c r="Z234" s="61">
        <v>-1</v>
      </c>
      <c r="AA234" s="61" t="s">
        <v>0</v>
      </c>
      <c r="AB234" t="s">
        <v>369</v>
      </c>
    </row>
    <row r="235" spans="3:33" x14ac:dyDescent="0.25">
      <c r="C235" s="61">
        <f t="shared" si="138"/>
        <v>2014</v>
      </c>
      <c r="D235" s="6">
        <f t="shared" si="139"/>
        <v>2014</v>
      </c>
      <c r="E235" t="s">
        <v>549</v>
      </c>
      <c r="F235" s="63">
        <v>13</v>
      </c>
      <c r="G235" s="66" t="s">
        <v>733</v>
      </c>
      <c r="H235" s="66" t="s">
        <v>733</v>
      </c>
      <c r="I235" s="11">
        <v>11.3</v>
      </c>
      <c r="J235" s="66" t="s">
        <v>734</v>
      </c>
      <c r="K235" s="66" t="s">
        <v>734</v>
      </c>
      <c r="L235" s="66" t="s">
        <v>712</v>
      </c>
      <c r="M235" s="66" t="s">
        <v>188</v>
      </c>
      <c r="N235" s="66" t="s">
        <v>189</v>
      </c>
      <c r="O235" s="70">
        <v>1</v>
      </c>
      <c r="P235" s="48">
        <v>-1</v>
      </c>
      <c r="Q235" s="48">
        <v>1</v>
      </c>
      <c r="R235" s="48">
        <v>0</v>
      </c>
      <c r="S235" s="92">
        <v>0</v>
      </c>
      <c r="T235" s="97" t="s">
        <v>178</v>
      </c>
      <c r="U235" s="70">
        <f t="shared" si="130"/>
        <v>1</v>
      </c>
      <c r="V235" s="48">
        <f t="shared" si="156"/>
        <v>0</v>
      </c>
      <c r="W235" s="48">
        <f t="shared" si="161"/>
        <v>1</v>
      </c>
      <c r="X235" s="61">
        <f t="shared" si="133"/>
        <v>0</v>
      </c>
      <c r="Y235" s="61">
        <f t="shared" si="129"/>
        <v>0</v>
      </c>
      <c r="Z235" s="61">
        <v>-1</v>
      </c>
      <c r="AA235" s="61" t="s">
        <v>0</v>
      </c>
      <c r="AB235" t="s">
        <v>550</v>
      </c>
      <c r="AD235" t="s">
        <v>551</v>
      </c>
    </row>
    <row r="236" spans="3:33" x14ac:dyDescent="0.25">
      <c r="C236" s="61">
        <f t="shared" si="138"/>
        <v>2014</v>
      </c>
      <c r="D236" s="6">
        <f t="shared" si="139"/>
        <v>2014</v>
      </c>
      <c r="E236" t="s">
        <v>728</v>
      </c>
      <c r="F236" s="63">
        <v>13</v>
      </c>
      <c r="G236" s="66" t="s">
        <v>733</v>
      </c>
      <c r="H236" s="66" t="s">
        <v>733</v>
      </c>
      <c r="I236" s="11">
        <v>11.3</v>
      </c>
      <c r="J236" s="66" t="s">
        <v>734</v>
      </c>
      <c r="K236" s="66" t="s">
        <v>734</v>
      </c>
      <c r="L236" s="66" t="s">
        <v>712</v>
      </c>
      <c r="M236" s="66" t="s">
        <v>188</v>
      </c>
      <c r="N236" s="66" t="s">
        <v>189</v>
      </c>
      <c r="O236" s="70">
        <v>1</v>
      </c>
      <c r="P236" s="48">
        <v>-1</v>
      </c>
      <c r="Q236" s="48">
        <v>1</v>
      </c>
      <c r="R236" s="48">
        <v>0</v>
      </c>
      <c r="S236" s="92">
        <v>0</v>
      </c>
      <c r="T236" s="97" t="s">
        <v>178</v>
      </c>
      <c r="U236" s="70">
        <f t="shared" ref="U236" si="168">IF(AND(ISNUMBER(F236), F236&gt;0), 1, 0)</f>
        <v>1</v>
      </c>
      <c r="V236" s="48">
        <f t="shared" si="156"/>
        <v>0</v>
      </c>
      <c r="W236" s="48">
        <f t="shared" ref="W236" si="169">IF(AND(ISNUMBER(I236), I236&gt;0), 1, 0)</f>
        <v>1</v>
      </c>
      <c r="X236" s="61">
        <f t="shared" si="133"/>
        <v>0</v>
      </c>
      <c r="Y236" s="61">
        <f t="shared" ref="Y236" si="170">IF(AND(ISNUMBER(L236), L236&gt;0), 1, 0)</f>
        <v>0</v>
      </c>
      <c r="Z236" s="61">
        <v>-1</v>
      </c>
      <c r="AA236" s="61" t="s">
        <v>0</v>
      </c>
      <c r="AB236" t="s">
        <v>729</v>
      </c>
      <c r="AD236" t="s">
        <v>551</v>
      </c>
    </row>
    <row r="237" spans="3:33" x14ac:dyDescent="0.25">
      <c r="C237" s="61">
        <f t="shared" si="138"/>
        <v>2014</v>
      </c>
      <c r="D237" s="6">
        <f t="shared" si="139"/>
        <v>2014</v>
      </c>
      <c r="E237" t="s">
        <v>1065</v>
      </c>
      <c r="F237" s="63">
        <v>13</v>
      </c>
      <c r="G237" s="66" t="s">
        <v>733</v>
      </c>
      <c r="H237" s="66" t="s">
        <v>733</v>
      </c>
      <c r="I237" s="11">
        <v>11.3</v>
      </c>
      <c r="J237" s="66" t="s">
        <v>734</v>
      </c>
      <c r="K237" s="66" t="s">
        <v>734</v>
      </c>
      <c r="L237" s="66" t="s">
        <v>712</v>
      </c>
      <c r="M237" s="66" t="s">
        <v>188</v>
      </c>
      <c r="N237" s="66" t="s">
        <v>189</v>
      </c>
      <c r="O237" s="70">
        <v>1</v>
      </c>
      <c r="P237" s="48">
        <v>-1</v>
      </c>
      <c r="Q237" s="48">
        <v>1</v>
      </c>
      <c r="R237" s="48">
        <v>0</v>
      </c>
      <c r="S237" s="92">
        <v>0</v>
      </c>
      <c r="T237" s="97" t="s">
        <v>178</v>
      </c>
      <c r="U237" s="70">
        <f t="shared" ref="U237" si="171">IF(AND(ISNUMBER(F237), F237&gt;0), 1, 0)</f>
        <v>1</v>
      </c>
      <c r="V237" s="48">
        <f t="shared" ref="V237" si="172">IF(AND(ISNUMBER(G237), G237&gt;0), 1, 0)</f>
        <v>0</v>
      </c>
      <c r="W237" s="48">
        <f t="shared" ref="W237" si="173">IF(AND(ISNUMBER(I237), I237&gt;0), 1, 0)</f>
        <v>1</v>
      </c>
      <c r="X237" s="61">
        <f t="shared" ref="X237" si="174">IF(AND(ISNUMBER(J237), J237&gt;0), 1, 0)</f>
        <v>0</v>
      </c>
      <c r="Y237" s="61">
        <f t="shared" ref="Y237" si="175">IF(AND(ISNUMBER(L237), L237&gt;0), 1, 0)</f>
        <v>0</v>
      </c>
      <c r="Z237" s="61">
        <v>-1</v>
      </c>
      <c r="AA237" s="61" t="s">
        <v>0</v>
      </c>
      <c r="AB237" t="s">
        <v>1063</v>
      </c>
    </row>
    <row r="238" spans="3:33" x14ac:dyDescent="0.25">
      <c r="C238" s="61">
        <f t="shared" si="138"/>
        <v>2014</v>
      </c>
      <c r="D238" s="6">
        <f t="shared" si="139"/>
        <v>2014</v>
      </c>
      <c r="E238" t="s">
        <v>183</v>
      </c>
      <c r="F238" s="52">
        <v>0</v>
      </c>
      <c r="G238" s="66" t="s">
        <v>733</v>
      </c>
      <c r="H238" s="66" t="s">
        <v>733</v>
      </c>
      <c r="I238" s="66" t="s">
        <v>155</v>
      </c>
      <c r="J238" s="66" t="s">
        <v>734</v>
      </c>
      <c r="K238" s="66" t="s">
        <v>734</v>
      </c>
      <c r="L238" s="66" t="s">
        <v>712</v>
      </c>
      <c r="M238" s="66" t="s">
        <v>188</v>
      </c>
      <c r="N238" s="66" t="s">
        <v>189</v>
      </c>
      <c r="O238" s="118">
        <v>0</v>
      </c>
      <c r="P238" s="48">
        <v>1</v>
      </c>
      <c r="Q238" s="48">
        <v>0</v>
      </c>
      <c r="R238" s="48">
        <v>0</v>
      </c>
      <c r="S238" s="92">
        <v>0</v>
      </c>
      <c r="T238" s="97" t="s">
        <v>174</v>
      </c>
      <c r="U238" s="70">
        <f t="shared" si="130"/>
        <v>0</v>
      </c>
      <c r="V238" s="48">
        <f t="shared" si="156"/>
        <v>0</v>
      </c>
      <c r="W238" s="48">
        <f t="shared" ref="W238:W243" si="176">IF(AND(ISNUMBER(I238), I238&gt;0), 1, 0)</f>
        <v>0</v>
      </c>
      <c r="X238" s="61">
        <f t="shared" si="133"/>
        <v>0</v>
      </c>
      <c r="Y238" s="61">
        <f t="shared" si="129"/>
        <v>0</v>
      </c>
      <c r="Z238" s="61">
        <v>-1</v>
      </c>
      <c r="AA238" s="61" t="s">
        <v>0</v>
      </c>
      <c r="AB238" t="s">
        <v>125</v>
      </c>
    </row>
    <row r="239" spans="3:33" x14ac:dyDescent="0.25">
      <c r="C239" s="61">
        <f t="shared" si="138"/>
        <v>2014</v>
      </c>
      <c r="D239" s="6">
        <f t="shared" si="139"/>
        <v>2014</v>
      </c>
      <c r="E239" t="s">
        <v>184</v>
      </c>
      <c r="F239" s="67" t="s">
        <v>154</v>
      </c>
      <c r="G239" s="66" t="s">
        <v>733</v>
      </c>
      <c r="H239" s="66" t="s">
        <v>733</v>
      </c>
      <c r="I239" s="48">
        <v>13</v>
      </c>
      <c r="J239" s="66" t="s">
        <v>734</v>
      </c>
      <c r="K239" s="66" t="s">
        <v>734</v>
      </c>
      <c r="L239" s="66" t="s">
        <v>712</v>
      </c>
      <c r="M239" s="66" t="s">
        <v>188</v>
      </c>
      <c r="N239" s="66" t="s">
        <v>189</v>
      </c>
      <c r="O239" s="118">
        <v>0</v>
      </c>
      <c r="P239" s="53">
        <v>1</v>
      </c>
      <c r="Q239" s="48">
        <v>0</v>
      </c>
      <c r="R239" s="48">
        <v>0</v>
      </c>
      <c r="S239" s="92">
        <v>0</v>
      </c>
      <c r="T239" s="97" t="s">
        <v>174</v>
      </c>
      <c r="U239" s="70">
        <f t="shared" si="130"/>
        <v>0</v>
      </c>
      <c r="V239" s="48">
        <f t="shared" si="156"/>
        <v>0</v>
      </c>
      <c r="W239" s="48">
        <f t="shared" si="176"/>
        <v>1</v>
      </c>
      <c r="X239" s="61">
        <f t="shared" si="133"/>
        <v>0</v>
      </c>
      <c r="Y239" s="61">
        <f t="shared" si="129"/>
        <v>0</v>
      </c>
      <c r="Z239" s="61">
        <v>-1</v>
      </c>
      <c r="AA239" s="61" t="s">
        <v>0</v>
      </c>
      <c r="AB239" t="s">
        <v>126</v>
      </c>
      <c r="AG239" t="s">
        <v>138</v>
      </c>
    </row>
    <row r="240" spans="3:33" x14ac:dyDescent="0.25">
      <c r="C240" s="61">
        <f t="shared" si="136"/>
        <v>2014</v>
      </c>
      <c r="D240" s="6">
        <f t="shared" si="137"/>
        <v>2014</v>
      </c>
      <c r="E240" t="s">
        <v>185</v>
      </c>
      <c r="F240" s="67" t="s">
        <v>154</v>
      </c>
      <c r="G240" s="66" t="s">
        <v>733</v>
      </c>
      <c r="H240" s="66" t="s">
        <v>733</v>
      </c>
      <c r="I240" s="48">
        <v>13</v>
      </c>
      <c r="J240" s="66" t="s">
        <v>734</v>
      </c>
      <c r="K240" s="66" t="s">
        <v>734</v>
      </c>
      <c r="L240" s="66" t="s">
        <v>712</v>
      </c>
      <c r="M240" s="66" t="s">
        <v>188</v>
      </c>
      <c r="N240" s="66" t="s">
        <v>189</v>
      </c>
      <c r="O240" s="118">
        <v>0</v>
      </c>
      <c r="P240" s="48">
        <v>1</v>
      </c>
      <c r="Q240" s="48">
        <v>0</v>
      </c>
      <c r="R240" s="48">
        <v>0</v>
      </c>
      <c r="S240" s="92">
        <v>0</v>
      </c>
      <c r="T240" s="97" t="s">
        <v>174</v>
      </c>
      <c r="U240" s="70">
        <f t="shared" si="130"/>
        <v>0</v>
      </c>
      <c r="V240" s="48">
        <f t="shared" si="156"/>
        <v>0</v>
      </c>
      <c r="W240" s="48">
        <f t="shared" si="176"/>
        <v>1</v>
      </c>
      <c r="X240" s="61">
        <f t="shared" si="133"/>
        <v>0</v>
      </c>
      <c r="Y240" s="61">
        <f t="shared" si="129"/>
        <v>0</v>
      </c>
      <c r="Z240" s="61">
        <v>-1</v>
      </c>
      <c r="AA240" s="61" t="s">
        <v>0</v>
      </c>
      <c r="AB240" t="s">
        <v>127</v>
      </c>
      <c r="AG240" t="s">
        <v>138</v>
      </c>
    </row>
    <row r="241" spans="1:30" x14ac:dyDescent="0.25">
      <c r="C241" s="61">
        <f t="shared" si="136"/>
        <v>2014</v>
      </c>
      <c r="D241" s="6">
        <f t="shared" si="137"/>
        <v>2014</v>
      </c>
      <c r="E241" t="s">
        <v>379</v>
      </c>
      <c r="F241" s="51">
        <v>16</v>
      </c>
      <c r="G241" s="66" t="s">
        <v>733</v>
      </c>
      <c r="H241" s="66" t="s">
        <v>733</v>
      </c>
      <c r="I241" s="11">
        <v>14</v>
      </c>
      <c r="J241" s="66" t="s">
        <v>734</v>
      </c>
      <c r="K241" s="66" t="s">
        <v>734</v>
      </c>
      <c r="L241" s="66" t="s">
        <v>712</v>
      </c>
      <c r="M241" s="66" t="s">
        <v>188</v>
      </c>
      <c r="N241" s="66" t="s">
        <v>189</v>
      </c>
      <c r="O241" s="70">
        <v>1</v>
      </c>
      <c r="P241" s="48">
        <v>1</v>
      </c>
      <c r="Q241" s="48">
        <v>0</v>
      </c>
      <c r="R241" s="48">
        <v>1</v>
      </c>
      <c r="S241" s="92">
        <v>0</v>
      </c>
      <c r="T241" s="97" t="s">
        <v>174</v>
      </c>
      <c r="U241" s="70">
        <v>0</v>
      </c>
      <c r="V241" s="48">
        <f t="shared" si="156"/>
        <v>0</v>
      </c>
      <c r="W241" s="48">
        <f t="shared" si="176"/>
        <v>1</v>
      </c>
      <c r="X241" s="61">
        <f t="shared" si="133"/>
        <v>0</v>
      </c>
      <c r="Y241" s="61">
        <f t="shared" si="129"/>
        <v>0</v>
      </c>
      <c r="Z241" s="61">
        <v>-1</v>
      </c>
      <c r="AA241" s="61" t="s">
        <v>0</v>
      </c>
      <c r="AB241" t="s">
        <v>380</v>
      </c>
      <c r="AD241" s="125" t="s">
        <v>381</v>
      </c>
    </row>
    <row r="242" spans="1:30" x14ac:dyDescent="0.25">
      <c r="A242" t="s">
        <v>0</v>
      </c>
      <c r="C242" s="61">
        <f t="shared" si="136"/>
        <v>2014</v>
      </c>
      <c r="D242" s="6">
        <f t="shared" si="137"/>
        <v>2014</v>
      </c>
      <c r="E242" s="24" t="s">
        <v>186</v>
      </c>
      <c r="F242" s="67" t="s">
        <v>154</v>
      </c>
      <c r="G242" s="66" t="s">
        <v>733</v>
      </c>
      <c r="H242" s="66" t="s">
        <v>733</v>
      </c>
      <c r="I242" s="11">
        <v>0</v>
      </c>
      <c r="J242" s="66" t="s">
        <v>734</v>
      </c>
      <c r="K242" s="66" t="s">
        <v>734</v>
      </c>
      <c r="L242" s="66" t="s">
        <v>712</v>
      </c>
      <c r="M242" s="66" t="s">
        <v>188</v>
      </c>
      <c r="N242" s="66" t="s">
        <v>189</v>
      </c>
      <c r="O242" s="71">
        <v>0</v>
      </c>
      <c r="P242" s="48">
        <v>1</v>
      </c>
      <c r="Q242" s="48">
        <v>0</v>
      </c>
      <c r="R242" s="48">
        <v>1</v>
      </c>
      <c r="S242" s="92">
        <v>0</v>
      </c>
      <c r="T242" s="98" t="s">
        <v>227</v>
      </c>
      <c r="U242" s="70">
        <f t="shared" ref="U242:U243" si="177">IF(AND(ISNUMBER(F242), F242&gt;0), 1, 0)</f>
        <v>0</v>
      </c>
      <c r="V242" s="48">
        <f t="shared" si="156"/>
        <v>0</v>
      </c>
      <c r="W242" s="48">
        <f t="shared" si="176"/>
        <v>0</v>
      </c>
      <c r="X242" s="61">
        <f t="shared" si="133"/>
        <v>0</v>
      </c>
      <c r="Y242" s="61">
        <f t="shared" si="129"/>
        <v>0</v>
      </c>
      <c r="Z242" s="61">
        <v>-1</v>
      </c>
      <c r="AA242" s="61" t="s">
        <v>0</v>
      </c>
      <c r="AB242" t="s">
        <v>128</v>
      </c>
      <c r="AD242" s="119" t="s">
        <v>363</v>
      </c>
    </row>
    <row r="243" spans="1:30" x14ac:dyDescent="0.25">
      <c r="A243" t="s">
        <v>0</v>
      </c>
      <c r="C243" s="61">
        <f t="shared" si="136"/>
        <v>2014</v>
      </c>
      <c r="D243" s="6">
        <f t="shared" si="137"/>
        <v>2014</v>
      </c>
      <c r="E243" s="24" t="s">
        <v>187</v>
      </c>
      <c r="F243" s="52">
        <v>0</v>
      </c>
      <c r="G243" s="66" t="s">
        <v>733</v>
      </c>
      <c r="H243" s="66" t="s">
        <v>733</v>
      </c>
      <c r="I243" s="11">
        <v>0</v>
      </c>
      <c r="J243" s="66" t="s">
        <v>734</v>
      </c>
      <c r="K243" s="66" t="s">
        <v>734</v>
      </c>
      <c r="L243" s="66" t="s">
        <v>712</v>
      </c>
      <c r="M243" s="66" t="s">
        <v>188</v>
      </c>
      <c r="N243" s="66" t="s">
        <v>189</v>
      </c>
      <c r="O243" s="71">
        <v>0</v>
      </c>
      <c r="P243" s="53">
        <v>1</v>
      </c>
      <c r="Q243" s="48">
        <v>0</v>
      </c>
      <c r="R243" s="48">
        <v>1</v>
      </c>
      <c r="S243" s="92">
        <v>0</v>
      </c>
      <c r="T243" s="98" t="s">
        <v>227</v>
      </c>
      <c r="U243" s="70">
        <f t="shared" si="177"/>
        <v>0</v>
      </c>
      <c r="V243" s="48">
        <f t="shared" si="156"/>
        <v>0</v>
      </c>
      <c r="W243" s="48">
        <f t="shared" si="176"/>
        <v>0</v>
      </c>
      <c r="X243" s="61">
        <f t="shared" si="133"/>
        <v>0</v>
      </c>
      <c r="Y243" s="61">
        <f t="shared" si="129"/>
        <v>0</v>
      </c>
      <c r="Z243" s="61">
        <v>-1</v>
      </c>
      <c r="AA243" s="61" t="s">
        <v>0</v>
      </c>
      <c r="AB243" t="s">
        <v>129</v>
      </c>
      <c r="AD243" s="119" t="s">
        <v>363</v>
      </c>
    </row>
    <row r="244" spans="1:30" x14ac:dyDescent="0.25">
      <c r="A244" t="s">
        <v>438</v>
      </c>
      <c r="D244" s="126"/>
      <c r="E244" s="126"/>
      <c r="F244" s="126"/>
      <c r="G244" s="126"/>
      <c r="H244" s="126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7"/>
      <c r="AB244" s="127"/>
    </row>
    <row r="245" spans="1:30" x14ac:dyDescent="0.25">
      <c r="C245" s="1">
        <v>2016</v>
      </c>
      <c r="D245" s="60">
        <v>2017</v>
      </c>
      <c r="E245" t="s">
        <v>173</v>
      </c>
      <c r="F245" s="67" t="s">
        <v>154</v>
      </c>
      <c r="G245" s="66" t="s">
        <v>733</v>
      </c>
      <c r="H245" s="66" t="s">
        <v>733</v>
      </c>
      <c r="I245" s="66" t="s">
        <v>155</v>
      </c>
      <c r="J245" s="66" t="s">
        <v>734</v>
      </c>
      <c r="K245" s="66" t="s">
        <v>734</v>
      </c>
      <c r="L245" s="66" t="s">
        <v>712</v>
      </c>
      <c r="M245" s="66" t="s">
        <v>188</v>
      </c>
      <c r="N245" s="66" t="s">
        <v>189</v>
      </c>
      <c r="O245" s="72">
        <f t="shared" ref="O245:T245" si="178">O113</f>
        <v>1</v>
      </c>
      <c r="P245" s="61">
        <f t="shared" si="178"/>
        <v>-1</v>
      </c>
      <c r="Q245" s="61">
        <f t="shared" si="178"/>
        <v>0</v>
      </c>
      <c r="R245" s="61">
        <f t="shared" si="178"/>
        <v>0</v>
      </c>
      <c r="S245" s="92">
        <f t="shared" si="178"/>
        <v>0</v>
      </c>
      <c r="T245" s="75" t="str">
        <f t="shared" si="178"/>
        <v xml:space="preserve">SplitAirCond     </v>
      </c>
      <c r="U245" s="72">
        <f t="shared" ref="U245" si="179">IF(AND(ISNUMBER(F245), F245&gt;0), 1, 0)</f>
        <v>0</v>
      </c>
      <c r="V245" s="61">
        <f t="shared" ref="V245:V251" si="180">IF(AND(ISNUMBER(G245), G245&gt;0), 1, 0)</f>
        <v>0</v>
      </c>
      <c r="W245" s="61">
        <f>IF(AND(ISNUMBER(I245), I245&gt;0), 1, 0)</f>
        <v>0</v>
      </c>
      <c r="X245" s="61">
        <f>IF(AND(ISNUMBER(J245), J245&gt;0), 1, 0)</f>
        <v>0</v>
      </c>
      <c r="Y245" s="61">
        <f t="shared" ref="Y245:Y260" si="181">IF(AND(ISNUMBER(L245), L245&gt;0), 1, 0)</f>
        <v>0</v>
      </c>
      <c r="Z245" s="61">
        <v>-1</v>
      </c>
      <c r="AA245" s="61" t="s">
        <v>0</v>
      </c>
      <c r="AB245" s="62" t="str">
        <f t="shared" ref="AB245:AB273" si="182">AB174</f>
        <v xml:space="preserve">NoCooling - No cooling equipment                                    </v>
      </c>
    </row>
    <row r="246" spans="1:30" x14ac:dyDescent="0.25">
      <c r="C246" s="61">
        <f>C245</f>
        <v>2016</v>
      </c>
      <c r="D246" s="6">
        <f>D245</f>
        <v>2017</v>
      </c>
      <c r="E246" t="s">
        <v>174</v>
      </c>
      <c r="F246" s="63">
        <v>14</v>
      </c>
      <c r="G246" s="66" t="s">
        <v>733</v>
      </c>
      <c r="H246" s="66" t="s">
        <v>733</v>
      </c>
      <c r="I246" s="64">
        <v>11.7</v>
      </c>
      <c r="J246" s="66" t="s">
        <v>734</v>
      </c>
      <c r="K246" s="66" t="s">
        <v>734</v>
      </c>
      <c r="L246" s="66" t="s">
        <v>712</v>
      </c>
      <c r="M246" s="66" t="s">
        <v>188</v>
      </c>
      <c r="N246" s="66" t="s">
        <v>189</v>
      </c>
      <c r="O246" s="72">
        <f t="shared" ref="O246:T246" si="183">O114</f>
        <v>1</v>
      </c>
      <c r="P246" s="61">
        <f t="shared" si="183"/>
        <v>1</v>
      </c>
      <c r="Q246" s="61">
        <f t="shared" si="183"/>
        <v>0</v>
      </c>
      <c r="R246" s="61">
        <f t="shared" si="183"/>
        <v>1</v>
      </c>
      <c r="S246" s="92">
        <f t="shared" si="183"/>
        <v>0</v>
      </c>
      <c r="T246" s="75" t="str">
        <f t="shared" si="183"/>
        <v xml:space="preserve">SplitAirCond     </v>
      </c>
      <c r="U246" s="72">
        <f t="shared" ref="U246:U251" si="184">IF(AND(ISNUMBER(F246), F246&gt;0), 1, 0)</f>
        <v>1</v>
      </c>
      <c r="V246" s="61">
        <f t="shared" si="180"/>
        <v>0</v>
      </c>
      <c r="W246" s="61">
        <f t="shared" ref="W246:W251" si="185">IF(AND(ISNUMBER(I246), I246&gt;0), 1, 0)</f>
        <v>1</v>
      </c>
      <c r="X246" s="61">
        <f t="shared" ref="X246:X273" si="186">IF(AND(ISNUMBER(J246), J246&gt;0), 1, 0)</f>
        <v>0</v>
      </c>
      <c r="Y246" s="61">
        <f t="shared" si="181"/>
        <v>0</v>
      </c>
      <c r="Z246" s="61">
        <v>-1</v>
      </c>
      <c r="AA246" s="61" t="s">
        <v>0</v>
      </c>
      <c r="AB246" s="62" t="str">
        <f t="shared" si="182"/>
        <v xml:space="preserve">SplitAirCond - Split air conditioning system                        </v>
      </c>
    </row>
    <row r="247" spans="1:30" x14ac:dyDescent="0.25">
      <c r="C247" s="61">
        <f t="shared" ref="C247:C273" si="187">C246</f>
        <v>2016</v>
      </c>
      <c r="D247" s="6">
        <f t="shared" ref="D247:D273" si="188">D246</f>
        <v>2017</v>
      </c>
      <c r="E247" t="s">
        <v>175</v>
      </c>
      <c r="F247" s="63">
        <v>14</v>
      </c>
      <c r="G247" s="66" t="s">
        <v>733</v>
      </c>
      <c r="H247" s="66" t="s">
        <v>733</v>
      </c>
      <c r="I247" s="64">
        <v>11</v>
      </c>
      <c r="J247" s="66" t="s">
        <v>734</v>
      </c>
      <c r="K247" s="66" t="s">
        <v>734</v>
      </c>
      <c r="L247" s="66" t="s">
        <v>712</v>
      </c>
      <c r="M247" s="66" t="s">
        <v>188</v>
      </c>
      <c r="N247" s="66" t="s">
        <v>189</v>
      </c>
      <c r="O247" s="72">
        <f t="shared" ref="O247:T247" si="189">O115</f>
        <v>1</v>
      </c>
      <c r="P247" s="61">
        <f t="shared" si="189"/>
        <v>1</v>
      </c>
      <c r="Q247" s="61">
        <f t="shared" si="189"/>
        <v>0</v>
      </c>
      <c r="R247" s="61">
        <f t="shared" si="189"/>
        <v>1</v>
      </c>
      <c r="S247" s="92">
        <f t="shared" si="189"/>
        <v>0</v>
      </c>
      <c r="T247" s="75" t="str">
        <f t="shared" si="189"/>
        <v xml:space="preserve">SplitAirCond     </v>
      </c>
      <c r="U247" s="72">
        <f t="shared" si="184"/>
        <v>1</v>
      </c>
      <c r="V247" s="61">
        <f t="shared" si="180"/>
        <v>0</v>
      </c>
      <c r="W247" s="61">
        <f t="shared" si="185"/>
        <v>1</v>
      </c>
      <c r="X247" s="61">
        <f t="shared" si="186"/>
        <v>0</v>
      </c>
      <c r="Y247" s="61">
        <f t="shared" si="181"/>
        <v>0</v>
      </c>
      <c r="Z247" s="61">
        <v>-1</v>
      </c>
      <c r="AA247" s="61" t="s">
        <v>0</v>
      </c>
      <c r="AB247" s="62" t="str">
        <f t="shared" si="182"/>
        <v xml:space="preserve">PkgAirCond - Central packaged A/C system (&lt; 65 kBtuh)               </v>
      </c>
    </row>
    <row r="248" spans="1:30" x14ac:dyDescent="0.25">
      <c r="C248" s="61">
        <f t="shared" si="187"/>
        <v>2016</v>
      </c>
      <c r="D248" s="6">
        <f t="shared" si="188"/>
        <v>2017</v>
      </c>
      <c r="E248" t="s">
        <v>176</v>
      </c>
      <c r="F248" s="51">
        <v>13</v>
      </c>
      <c r="G248" s="66" t="s">
        <v>733</v>
      </c>
      <c r="H248" s="66" t="s">
        <v>733</v>
      </c>
      <c r="I248" s="11">
        <v>0</v>
      </c>
      <c r="J248" s="66" t="s">
        <v>734</v>
      </c>
      <c r="K248" s="66" t="s">
        <v>734</v>
      </c>
      <c r="L248" s="66" t="s">
        <v>712</v>
      </c>
      <c r="M248" s="66" t="s">
        <v>188</v>
      </c>
      <c r="N248" s="66" t="s">
        <v>189</v>
      </c>
      <c r="O248" s="72">
        <f t="shared" ref="O248:T248" si="190">O116</f>
        <v>0</v>
      </c>
      <c r="P248" s="61">
        <f t="shared" si="190"/>
        <v>1</v>
      </c>
      <c r="Q248" s="61">
        <f t="shared" si="190"/>
        <v>0</v>
      </c>
      <c r="R248" s="61">
        <f t="shared" si="190"/>
        <v>1</v>
      </c>
      <c r="S248" s="92">
        <f t="shared" si="190"/>
        <v>0</v>
      </c>
      <c r="T248" s="75" t="str">
        <f t="shared" si="190"/>
        <v xml:space="preserve">SplitAirCond     </v>
      </c>
      <c r="U248" s="72">
        <f t="shared" si="184"/>
        <v>1</v>
      </c>
      <c r="V248" s="61">
        <f t="shared" si="180"/>
        <v>0</v>
      </c>
      <c r="W248" s="61">
        <f t="shared" si="185"/>
        <v>0</v>
      </c>
      <c r="X248" s="61">
        <f t="shared" si="186"/>
        <v>0</v>
      </c>
      <c r="Y248" s="61">
        <f t="shared" si="181"/>
        <v>0</v>
      </c>
      <c r="Z248" s="61">
        <v>-1</v>
      </c>
      <c r="AA248" s="61" t="s">
        <v>0</v>
      </c>
      <c r="AB248" s="62" t="str">
        <f t="shared" si="182"/>
        <v xml:space="preserve">LrgPkgAirCond - Large packaged A/C system (&gt;= 65 kBtuh)             </v>
      </c>
    </row>
    <row r="249" spans="1:30" x14ac:dyDescent="0.25">
      <c r="C249" s="61">
        <f t="shared" si="187"/>
        <v>2016</v>
      </c>
      <c r="D249" s="6">
        <f t="shared" si="188"/>
        <v>2017</v>
      </c>
      <c r="E249" t="s">
        <v>515</v>
      </c>
      <c r="F249" s="51">
        <v>12</v>
      </c>
      <c r="G249" s="66" t="s">
        <v>733</v>
      </c>
      <c r="H249" s="66" t="s">
        <v>733</v>
      </c>
      <c r="I249" s="149">
        <v>10</v>
      </c>
      <c r="J249" s="66" t="s">
        <v>734</v>
      </c>
      <c r="K249" s="66" t="s">
        <v>734</v>
      </c>
      <c r="L249" s="66" t="s">
        <v>712</v>
      </c>
      <c r="M249" s="66" t="s">
        <v>188</v>
      </c>
      <c r="N249" s="66" t="s">
        <v>189</v>
      </c>
      <c r="O249" s="72">
        <f t="shared" ref="O249:T249" si="191">O117</f>
        <v>1</v>
      </c>
      <c r="P249" s="61">
        <f t="shared" si="191"/>
        <v>1</v>
      </c>
      <c r="Q249" s="61">
        <f t="shared" si="191"/>
        <v>0</v>
      </c>
      <c r="R249" s="61">
        <f t="shared" si="191"/>
        <v>1</v>
      </c>
      <c r="S249" s="92">
        <f t="shared" si="191"/>
        <v>0</v>
      </c>
      <c r="T249" s="75" t="str">
        <f t="shared" si="191"/>
        <v xml:space="preserve">SplitAirCond     </v>
      </c>
      <c r="U249" s="72">
        <f t="shared" si="184"/>
        <v>1</v>
      </c>
      <c r="V249" s="61">
        <f t="shared" si="180"/>
        <v>0</v>
      </c>
      <c r="W249" s="61">
        <f t="shared" si="185"/>
        <v>1</v>
      </c>
      <c r="X249" s="61">
        <f t="shared" si="186"/>
        <v>0</v>
      </c>
      <c r="Y249" s="61">
        <f t="shared" si="181"/>
        <v>0</v>
      </c>
      <c r="Z249" s="61">
        <v>-1</v>
      </c>
      <c r="AA249" s="61" t="s">
        <v>0</v>
      </c>
      <c r="AB249" s="62" t="str">
        <f t="shared" si="182"/>
        <v xml:space="preserve">SDHVSplitAirCond - Small duct, high velocity, split A/C system                        </v>
      </c>
    </row>
    <row r="250" spans="1:30" x14ac:dyDescent="0.25">
      <c r="C250" s="61">
        <f t="shared" si="187"/>
        <v>2016</v>
      </c>
      <c r="D250" s="6">
        <f t="shared" si="188"/>
        <v>2017</v>
      </c>
      <c r="E250" t="s">
        <v>526</v>
      </c>
      <c r="F250" s="51">
        <v>14</v>
      </c>
      <c r="G250" s="66" t="s">
        <v>733</v>
      </c>
      <c r="H250" s="66" t="s">
        <v>733</v>
      </c>
      <c r="I250" s="11">
        <v>11.7</v>
      </c>
      <c r="J250" s="66" t="s">
        <v>734</v>
      </c>
      <c r="K250" s="66" t="s">
        <v>734</v>
      </c>
      <c r="L250" s="66" t="s">
        <v>712</v>
      </c>
      <c r="M250" s="66" t="s">
        <v>188</v>
      </c>
      <c r="N250" s="66" t="s">
        <v>189</v>
      </c>
      <c r="O250" s="72">
        <f t="shared" ref="O250:T250" si="192">O118</f>
        <v>1</v>
      </c>
      <c r="P250" s="61">
        <f t="shared" si="192"/>
        <v>0</v>
      </c>
      <c r="Q250" s="61">
        <f t="shared" si="192"/>
        <v>0</v>
      </c>
      <c r="R250" s="61">
        <f t="shared" si="192"/>
        <v>1</v>
      </c>
      <c r="S250" s="92">
        <f t="shared" si="192"/>
        <v>1</v>
      </c>
      <c r="T250" s="75" t="str">
        <f t="shared" si="192"/>
        <v xml:space="preserve">SplitAirCond     </v>
      </c>
      <c r="U250" s="72">
        <f t="shared" si="184"/>
        <v>1</v>
      </c>
      <c r="V250" s="61">
        <f t="shared" si="180"/>
        <v>0</v>
      </c>
      <c r="W250" s="61">
        <f t="shared" si="185"/>
        <v>1</v>
      </c>
      <c r="X250" s="61">
        <f t="shared" si="186"/>
        <v>0</v>
      </c>
      <c r="Y250" s="61">
        <f t="shared" si="181"/>
        <v>0</v>
      </c>
      <c r="Z250" s="61">
        <v>-1</v>
      </c>
      <c r="AA250" s="61" t="s">
        <v>0</v>
      </c>
      <c r="AB250" s="62" t="str">
        <f t="shared" si="182"/>
        <v>DuctlessMiniSplitAirCond – Ductless mini-split A/C system</v>
      </c>
    </row>
    <row r="251" spans="1:30" x14ac:dyDescent="0.25">
      <c r="C251" s="61">
        <f t="shared" si="187"/>
        <v>2016</v>
      </c>
      <c r="D251" s="6">
        <f t="shared" si="188"/>
        <v>2017</v>
      </c>
      <c r="E251" t="s">
        <v>527</v>
      </c>
      <c r="F251" s="51">
        <v>14</v>
      </c>
      <c r="G251" s="66" t="s">
        <v>733</v>
      </c>
      <c r="H251" s="66" t="s">
        <v>733</v>
      </c>
      <c r="I251" s="11">
        <v>11.7</v>
      </c>
      <c r="J251" s="66" t="s">
        <v>734</v>
      </c>
      <c r="K251" s="66" t="s">
        <v>734</v>
      </c>
      <c r="L251" s="66" t="s">
        <v>712</v>
      </c>
      <c r="M251" s="66" t="s">
        <v>188</v>
      </c>
      <c r="N251" s="66" t="s">
        <v>189</v>
      </c>
      <c r="O251" s="72">
        <f t="shared" ref="O251:T251" si="193">O119</f>
        <v>1</v>
      </c>
      <c r="P251" s="61">
        <f t="shared" si="193"/>
        <v>0</v>
      </c>
      <c r="Q251" s="61">
        <f t="shared" si="193"/>
        <v>0</v>
      </c>
      <c r="R251" s="61">
        <f t="shared" si="193"/>
        <v>1</v>
      </c>
      <c r="S251" s="92">
        <f t="shared" si="193"/>
        <v>1</v>
      </c>
      <c r="T251" s="75" t="str">
        <f t="shared" si="193"/>
        <v xml:space="preserve">SplitAirCond     </v>
      </c>
      <c r="U251" s="72">
        <f t="shared" si="184"/>
        <v>1</v>
      </c>
      <c r="V251" s="61">
        <f t="shared" si="180"/>
        <v>0</v>
      </c>
      <c r="W251" s="61">
        <f t="shared" si="185"/>
        <v>1</v>
      </c>
      <c r="X251" s="61">
        <f t="shared" si="186"/>
        <v>0</v>
      </c>
      <c r="Y251" s="61">
        <f t="shared" si="181"/>
        <v>0</v>
      </c>
      <c r="Z251" s="61">
        <v>-1</v>
      </c>
      <c r="AA251" s="61" t="s">
        <v>0</v>
      </c>
      <c r="AB251" s="62" t="str">
        <f t="shared" si="182"/>
        <v>DuctlessMultiSplitAirCond - Ductless multi-split A/C system</v>
      </c>
    </row>
    <row r="252" spans="1:30" x14ac:dyDescent="0.25">
      <c r="C252" s="61">
        <f t="shared" si="187"/>
        <v>2016</v>
      </c>
      <c r="D252" s="6">
        <f t="shared" si="188"/>
        <v>2017</v>
      </c>
      <c r="E252" t="s">
        <v>523</v>
      </c>
      <c r="F252" s="51">
        <v>13</v>
      </c>
      <c r="G252" s="66" t="s">
        <v>733</v>
      </c>
      <c r="H252" s="66" t="s">
        <v>733</v>
      </c>
      <c r="I252" s="11">
        <v>11.3</v>
      </c>
      <c r="J252" s="66" t="s">
        <v>734</v>
      </c>
      <c r="K252" s="66" t="s">
        <v>734</v>
      </c>
      <c r="L252" s="66" t="s">
        <v>712</v>
      </c>
      <c r="M252" s="66" t="s">
        <v>188</v>
      </c>
      <c r="N252" s="66" t="s">
        <v>189</v>
      </c>
      <c r="O252" s="72">
        <f t="shared" ref="O252:T252" si="194">O120</f>
        <v>1</v>
      </c>
      <c r="P252" s="61">
        <f t="shared" si="194"/>
        <v>0</v>
      </c>
      <c r="Q252" s="61">
        <f t="shared" si="194"/>
        <v>0</v>
      </c>
      <c r="R252" s="61">
        <f t="shared" si="194"/>
        <v>1</v>
      </c>
      <c r="S252" s="92">
        <f t="shared" si="194"/>
        <v>1</v>
      </c>
      <c r="T252" s="75" t="str">
        <f t="shared" si="194"/>
        <v xml:space="preserve">SplitAirCond     </v>
      </c>
      <c r="U252" s="72">
        <f t="shared" ref="U252:U273" si="195">IF(AND(ISNUMBER(F252), F252&gt;0), 1, 0)</f>
        <v>1</v>
      </c>
      <c r="V252" s="61">
        <f t="shared" ref="V252:V264" si="196">IF(AND(ISNUMBER(G252), G252&gt;0), 1, 0)</f>
        <v>0</v>
      </c>
      <c r="W252" s="61">
        <f t="shared" ref="W252:W264" si="197">IF(AND(ISNUMBER(I252), I252&gt;0), 1, 0)</f>
        <v>1</v>
      </c>
      <c r="X252" s="61">
        <f t="shared" si="186"/>
        <v>0</v>
      </c>
      <c r="Y252" s="61">
        <f t="shared" si="181"/>
        <v>0</v>
      </c>
      <c r="Z252" s="61">
        <v>-1</v>
      </c>
      <c r="AA252" s="61" t="s">
        <v>0</v>
      </c>
      <c r="AB252" s="62" t="str">
        <f t="shared" si="182"/>
        <v>DuctlessVRFAirCond - Ductless variable refrigerant flow (VRF) A/C system</v>
      </c>
    </row>
    <row r="253" spans="1:30" x14ac:dyDescent="0.25">
      <c r="C253" s="61">
        <f t="shared" si="187"/>
        <v>2016</v>
      </c>
      <c r="D253" s="6">
        <f t="shared" si="188"/>
        <v>2017</v>
      </c>
      <c r="E253" t="s">
        <v>177</v>
      </c>
      <c r="F253" s="67" t="s">
        <v>154</v>
      </c>
      <c r="G253" s="66" t="s">
        <v>733</v>
      </c>
      <c r="H253" s="66" t="s">
        <v>733</v>
      </c>
      <c r="I253" s="11">
        <v>8.5</v>
      </c>
      <c r="J253" s="66" t="s">
        <v>734</v>
      </c>
      <c r="K253" s="66" t="s">
        <v>734</v>
      </c>
      <c r="L253" s="66" t="s">
        <v>712</v>
      </c>
      <c r="M253" s="66" t="s">
        <v>188</v>
      </c>
      <c r="N253" s="66" t="s">
        <v>189</v>
      </c>
      <c r="O253" s="72">
        <f t="shared" ref="O253:T253" si="198">O121</f>
        <v>1</v>
      </c>
      <c r="P253" s="61">
        <f t="shared" si="198"/>
        <v>0</v>
      </c>
      <c r="Q253" s="61">
        <f t="shared" si="198"/>
        <v>0</v>
      </c>
      <c r="R253" s="61">
        <f t="shared" si="198"/>
        <v>0</v>
      </c>
      <c r="S253" s="92">
        <f t="shared" si="198"/>
        <v>1</v>
      </c>
      <c r="T253" s="75" t="str">
        <f t="shared" si="198"/>
        <v xml:space="preserve">SplitAirCond     </v>
      </c>
      <c r="U253" s="72">
        <f t="shared" si="195"/>
        <v>0</v>
      </c>
      <c r="V253" s="61">
        <f t="shared" si="196"/>
        <v>0</v>
      </c>
      <c r="W253" s="61">
        <f t="shared" si="197"/>
        <v>1</v>
      </c>
      <c r="X253" s="61">
        <f t="shared" si="186"/>
        <v>0</v>
      </c>
      <c r="Y253" s="61">
        <f t="shared" si="181"/>
        <v>0</v>
      </c>
      <c r="Z253" s="61">
        <v>-1</v>
      </c>
      <c r="AA253" s="61" t="s">
        <v>0</v>
      </c>
      <c r="AB253" s="62" t="str">
        <f t="shared" si="182"/>
        <v xml:space="preserve">RoomAirCond - Non-central room A/C system                           </v>
      </c>
    </row>
    <row r="254" spans="1:30" x14ac:dyDescent="0.25">
      <c r="C254" s="61">
        <f t="shared" si="187"/>
        <v>2016</v>
      </c>
      <c r="D254" s="6">
        <f t="shared" si="188"/>
        <v>2017</v>
      </c>
      <c r="E254" t="s">
        <v>178</v>
      </c>
      <c r="F254" s="63">
        <v>14</v>
      </c>
      <c r="G254" s="66" t="s">
        <v>733</v>
      </c>
      <c r="H254" s="66" t="s">
        <v>733</v>
      </c>
      <c r="I254" s="10">
        <v>11.7</v>
      </c>
      <c r="J254" s="66" t="s">
        <v>734</v>
      </c>
      <c r="K254" s="66" t="s">
        <v>734</v>
      </c>
      <c r="L254" s="66" t="s">
        <v>712</v>
      </c>
      <c r="M254" s="66" t="s">
        <v>188</v>
      </c>
      <c r="N254" s="66" t="s">
        <v>189</v>
      </c>
      <c r="O254" s="72">
        <f t="shared" ref="O254:T254" si="199">O122</f>
        <v>1</v>
      </c>
      <c r="P254" s="61">
        <f t="shared" si="199"/>
        <v>1</v>
      </c>
      <c r="Q254" s="61">
        <f t="shared" si="199"/>
        <v>1</v>
      </c>
      <c r="R254" s="61">
        <f t="shared" si="199"/>
        <v>1</v>
      </c>
      <c r="S254" s="92">
        <f t="shared" si="199"/>
        <v>0</v>
      </c>
      <c r="T254" s="75" t="str">
        <f t="shared" si="199"/>
        <v xml:space="preserve">SplitHeatPump    </v>
      </c>
      <c r="U254" s="72">
        <f t="shared" si="195"/>
        <v>1</v>
      </c>
      <c r="V254" s="61">
        <f t="shared" si="196"/>
        <v>0</v>
      </c>
      <c r="W254" s="61">
        <f t="shared" si="197"/>
        <v>1</v>
      </c>
      <c r="X254" s="61">
        <f t="shared" si="186"/>
        <v>0</v>
      </c>
      <c r="Y254" s="61">
        <f t="shared" si="181"/>
        <v>0</v>
      </c>
      <c r="Z254" s="61">
        <v>-1</v>
      </c>
      <c r="AA254" s="61" t="s">
        <v>0</v>
      </c>
      <c r="AB254" s="62" t="str">
        <f t="shared" si="182"/>
        <v xml:space="preserve">SplitHeatPump - Split heat pump system                              </v>
      </c>
    </row>
    <row r="255" spans="1:30" x14ac:dyDescent="0.25">
      <c r="C255" s="61">
        <f t="shared" si="187"/>
        <v>2016</v>
      </c>
      <c r="D255" s="6">
        <f t="shared" si="188"/>
        <v>2017</v>
      </c>
      <c r="E255" t="s">
        <v>179</v>
      </c>
      <c r="F255" s="63">
        <v>14</v>
      </c>
      <c r="G255" s="66" t="s">
        <v>733</v>
      </c>
      <c r="H255" s="66" t="s">
        <v>733</v>
      </c>
      <c r="I255" s="10">
        <v>11.7</v>
      </c>
      <c r="J255" s="66" t="s">
        <v>734</v>
      </c>
      <c r="K255" s="66" t="s">
        <v>734</v>
      </c>
      <c r="L255" s="66" t="s">
        <v>712</v>
      </c>
      <c r="M255" s="66" t="s">
        <v>188</v>
      </c>
      <c r="N255" s="66" t="s">
        <v>189</v>
      </c>
      <c r="O255" s="72">
        <f t="shared" ref="O255:T255" si="200">O123</f>
        <v>1</v>
      </c>
      <c r="P255" s="61">
        <f t="shared" si="200"/>
        <v>1</v>
      </c>
      <c r="Q255" s="61">
        <f t="shared" si="200"/>
        <v>1</v>
      </c>
      <c r="R255" s="61">
        <f t="shared" si="200"/>
        <v>1</v>
      </c>
      <c r="S255" s="92">
        <f t="shared" si="200"/>
        <v>0</v>
      </c>
      <c r="T255" s="75" t="str">
        <f t="shared" si="200"/>
        <v xml:space="preserve">SplitHeatPump    </v>
      </c>
      <c r="U255" s="72">
        <f t="shared" si="195"/>
        <v>1</v>
      </c>
      <c r="V255" s="61">
        <f t="shared" si="196"/>
        <v>0</v>
      </c>
      <c r="W255" s="61">
        <f t="shared" si="197"/>
        <v>1</v>
      </c>
      <c r="X255" s="61">
        <f t="shared" si="186"/>
        <v>0</v>
      </c>
      <c r="Y255" s="61">
        <f t="shared" si="181"/>
        <v>0</v>
      </c>
      <c r="Z255" s="61">
        <v>-1</v>
      </c>
      <c r="AA255" s="61" t="s">
        <v>0</v>
      </c>
      <c r="AB255" s="62" t="str">
        <f t="shared" si="182"/>
        <v xml:space="preserve">PkgHeatPump - Central single-packaged heat pump system (&lt; 65 kBtuh) </v>
      </c>
    </row>
    <row r="256" spans="1:30" x14ac:dyDescent="0.25">
      <c r="C256" s="61">
        <f t="shared" si="187"/>
        <v>2016</v>
      </c>
      <c r="D256" s="6">
        <f t="shared" si="188"/>
        <v>2017</v>
      </c>
      <c r="E256" t="s">
        <v>180</v>
      </c>
      <c r="F256" s="67" t="s">
        <v>154</v>
      </c>
      <c r="G256" s="66" t="s">
        <v>733</v>
      </c>
      <c r="H256" s="66" t="s">
        <v>733</v>
      </c>
      <c r="I256" s="11">
        <v>0</v>
      </c>
      <c r="J256" s="66" t="s">
        <v>734</v>
      </c>
      <c r="K256" s="66" t="s">
        <v>734</v>
      </c>
      <c r="L256" s="66" t="s">
        <v>712</v>
      </c>
      <c r="M256" s="66" t="s">
        <v>188</v>
      </c>
      <c r="N256" s="66" t="s">
        <v>189</v>
      </c>
      <c r="O256" s="72">
        <f t="shared" ref="O256:T256" si="201">O124</f>
        <v>0</v>
      </c>
      <c r="P256" s="61">
        <f t="shared" si="201"/>
        <v>1</v>
      </c>
      <c r="Q256" s="61">
        <f t="shared" si="201"/>
        <v>1</v>
      </c>
      <c r="R256" s="61">
        <f t="shared" si="201"/>
        <v>1</v>
      </c>
      <c r="S256" s="92">
        <f t="shared" si="201"/>
        <v>0</v>
      </c>
      <c r="T256" s="75" t="str">
        <f t="shared" si="201"/>
        <v xml:space="preserve">SplitHeatPump    </v>
      </c>
      <c r="U256" s="72">
        <f t="shared" si="195"/>
        <v>0</v>
      </c>
      <c r="V256" s="61">
        <f t="shared" si="196"/>
        <v>0</v>
      </c>
      <c r="W256" s="61">
        <f t="shared" si="197"/>
        <v>0</v>
      </c>
      <c r="X256" s="61">
        <f t="shared" si="186"/>
        <v>0</v>
      </c>
      <c r="Y256" s="61">
        <f t="shared" si="181"/>
        <v>0</v>
      </c>
      <c r="Z256" s="61">
        <v>-1</v>
      </c>
      <c r="AA256" s="61" t="s">
        <v>0</v>
      </c>
      <c r="AB256" s="62" t="str">
        <f t="shared" si="182"/>
        <v xml:space="preserve">LrgPkgHeatPump - Large packaged heat pump system (&gt;= 65 kBtuh)      </v>
      </c>
    </row>
    <row r="257" spans="1:30" x14ac:dyDescent="0.25">
      <c r="A257" t="s">
        <v>0</v>
      </c>
      <c r="C257" s="61">
        <f t="shared" si="187"/>
        <v>2016</v>
      </c>
      <c r="D257" s="6">
        <f t="shared" si="188"/>
        <v>2017</v>
      </c>
      <c r="E257" s="24" t="s">
        <v>181</v>
      </c>
      <c r="F257" s="67" t="s">
        <v>154</v>
      </c>
      <c r="G257" s="66" t="s">
        <v>733</v>
      </c>
      <c r="H257" s="66" t="s">
        <v>733</v>
      </c>
      <c r="I257" s="66" t="s">
        <v>155</v>
      </c>
      <c r="J257" s="66" t="s">
        <v>734</v>
      </c>
      <c r="K257" s="66" t="s">
        <v>734</v>
      </c>
      <c r="L257" s="66" t="s">
        <v>712</v>
      </c>
      <c r="M257" s="11">
        <v>0</v>
      </c>
      <c r="N257" s="11">
        <v>0</v>
      </c>
      <c r="O257" s="72">
        <f t="shared" ref="O257:T257" si="202">O125</f>
        <v>0</v>
      </c>
      <c r="P257" s="61">
        <f t="shared" si="202"/>
        <v>1</v>
      </c>
      <c r="Q257" s="61">
        <f t="shared" si="202"/>
        <v>0</v>
      </c>
      <c r="R257" s="61">
        <f t="shared" si="202"/>
        <v>1</v>
      </c>
      <c r="S257" s="92">
        <f t="shared" si="202"/>
        <v>0</v>
      </c>
      <c r="T257" s="75" t="str">
        <f t="shared" si="202"/>
        <v>N/A</v>
      </c>
      <c r="U257" s="72">
        <f t="shared" si="195"/>
        <v>0</v>
      </c>
      <c r="V257" s="61">
        <f t="shared" si="196"/>
        <v>0</v>
      </c>
      <c r="W257" s="61">
        <f t="shared" si="197"/>
        <v>0</v>
      </c>
      <c r="X257" s="61">
        <f t="shared" si="186"/>
        <v>0</v>
      </c>
      <c r="Y257" s="61">
        <f t="shared" si="181"/>
        <v>0</v>
      </c>
      <c r="Z257" s="61">
        <v>-1</v>
      </c>
      <c r="AA257" s="61" t="s">
        <v>0</v>
      </c>
      <c r="AB257" s="62" t="str">
        <f t="shared" si="182"/>
        <v xml:space="preserve">GasCooling - Gas absorption cooling                                 </v>
      </c>
    </row>
    <row r="258" spans="1:30" x14ac:dyDescent="0.25">
      <c r="C258" s="61">
        <f t="shared" si="187"/>
        <v>2016</v>
      </c>
      <c r="D258" s="6">
        <f t="shared" si="188"/>
        <v>2017</v>
      </c>
      <c r="E258" t="s">
        <v>511</v>
      </c>
      <c r="F258" s="51">
        <v>12</v>
      </c>
      <c r="G258" s="66" t="s">
        <v>733</v>
      </c>
      <c r="H258" s="66" t="s">
        <v>733</v>
      </c>
      <c r="I258" s="149">
        <v>10</v>
      </c>
      <c r="J258" s="66" t="s">
        <v>734</v>
      </c>
      <c r="K258" s="66" t="s">
        <v>734</v>
      </c>
      <c r="L258" s="66" t="s">
        <v>712</v>
      </c>
      <c r="M258" s="66" t="s">
        <v>188</v>
      </c>
      <c r="N258" s="66" t="s">
        <v>189</v>
      </c>
      <c r="O258" s="72">
        <f t="shared" ref="O258:T258" si="203">O126</f>
        <v>1</v>
      </c>
      <c r="P258" s="61">
        <f t="shared" si="203"/>
        <v>1</v>
      </c>
      <c r="Q258" s="61">
        <f t="shared" si="203"/>
        <v>1</v>
      </c>
      <c r="R258" s="61">
        <f t="shared" si="203"/>
        <v>1</v>
      </c>
      <c r="S258" s="92">
        <f t="shared" si="203"/>
        <v>0</v>
      </c>
      <c r="T258" s="75" t="str">
        <f t="shared" si="203"/>
        <v xml:space="preserve">SplitHeatPump    </v>
      </c>
      <c r="U258" s="72">
        <f t="shared" si="195"/>
        <v>1</v>
      </c>
      <c r="V258" s="61">
        <f t="shared" si="196"/>
        <v>0</v>
      </c>
      <c r="W258" s="61">
        <f t="shared" si="197"/>
        <v>1</v>
      </c>
      <c r="X258" s="61">
        <f t="shared" si="186"/>
        <v>0</v>
      </c>
      <c r="Y258" s="61">
        <f t="shared" si="181"/>
        <v>0</v>
      </c>
      <c r="Z258" s="61">
        <v>-1</v>
      </c>
      <c r="AA258" s="61" t="s">
        <v>0</v>
      </c>
      <c r="AB258" s="62" t="str">
        <f t="shared" si="182"/>
        <v xml:space="preserve">SDHVSplitHeatPump - Small duct, high velocity, central split heat pump                              </v>
      </c>
    </row>
    <row r="259" spans="1:30" x14ac:dyDescent="0.25">
      <c r="C259" s="61">
        <f t="shared" si="187"/>
        <v>2016</v>
      </c>
      <c r="D259" s="6">
        <f t="shared" si="188"/>
        <v>2017</v>
      </c>
      <c r="E259" t="s">
        <v>530</v>
      </c>
      <c r="F259" s="51">
        <v>14</v>
      </c>
      <c r="G259" s="66" t="s">
        <v>733</v>
      </c>
      <c r="H259" s="66" t="s">
        <v>733</v>
      </c>
      <c r="I259" s="11">
        <v>11.7</v>
      </c>
      <c r="J259" s="66" t="s">
        <v>734</v>
      </c>
      <c r="K259" s="66" t="s">
        <v>734</v>
      </c>
      <c r="L259" s="66" t="s">
        <v>712</v>
      </c>
      <c r="M259" s="66" t="s">
        <v>188</v>
      </c>
      <c r="N259" s="66" t="s">
        <v>189</v>
      </c>
      <c r="O259" s="72">
        <f t="shared" ref="O259:T259" si="204">O127</f>
        <v>1</v>
      </c>
      <c r="P259" s="61">
        <f t="shared" si="204"/>
        <v>0</v>
      </c>
      <c r="Q259" s="61">
        <f t="shared" si="204"/>
        <v>1</v>
      </c>
      <c r="R259" s="61">
        <f t="shared" si="204"/>
        <v>1</v>
      </c>
      <c r="S259" s="92">
        <f t="shared" si="204"/>
        <v>1</v>
      </c>
      <c r="T259" s="75" t="str">
        <f t="shared" si="204"/>
        <v xml:space="preserve">SplitHeatPump    </v>
      </c>
      <c r="U259" s="72">
        <f t="shared" si="195"/>
        <v>1</v>
      </c>
      <c r="V259" s="61">
        <f t="shared" si="196"/>
        <v>0</v>
      </c>
      <c r="W259" s="61">
        <f t="shared" si="197"/>
        <v>1</v>
      </c>
      <c r="X259" s="61">
        <f t="shared" si="186"/>
        <v>0</v>
      </c>
      <c r="Y259" s="61">
        <f t="shared" si="181"/>
        <v>0</v>
      </c>
      <c r="Z259" s="61">
        <v>-1</v>
      </c>
      <c r="AA259" s="61" t="s">
        <v>0</v>
      </c>
      <c r="AB259" s="62" t="str">
        <f t="shared" si="182"/>
        <v>DuctlessMiniSplitHeatPump – Ductless mini-split heat pump system</v>
      </c>
    </row>
    <row r="260" spans="1:30" x14ac:dyDescent="0.25">
      <c r="C260" s="61">
        <f t="shared" si="187"/>
        <v>2016</v>
      </c>
      <c r="D260" s="6">
        <f t="shared" si="188"/>
        <v>2017</v>
      </c>
      <c r="E260" t="s">
        <v>531</v>
      </c>
      <c r="F260" s="51">
        <v>14</v>
      </c>
      <c r="G260" s="66" t="s">
        <v>733</v>
      </c>
      <c r="H260" s="66" t="s">
        <v>733</v>
      </c>
      <c r="I260" s="11">
        <v>11.7</v>
      </c>
      <c r="J260" s="66" t="s">
        <v>734</v>
      </c>
      <c r="K260" s="66" t="s">
        <v>734</v>
      </c>
      <c r="L260" s="66" t="s">
        <v>712</v>
      </c>
      <c r="M260" s="66" t="s">
        <v>188</v>
      </c>
      <c r="N260" s="66" t="s">
        <v>189</v>
      </c>
      <c r="O260" s="72">
        <f t="shared" ref="O260:T260" si="205">O128</f>
        <v>1</v>
      </c>
      <c r="P260" s="61">
        <f t="shared" si="205"/>
        <v>0</v>
      </c>
      <c r="Q260" s="61">
        <f t="shared" si="205"/>
        <v>1</v>
      </c>
      <c r="R260" s="61">
        <f t="shared" si="205"/>
        <v>1</v>
      </c>
      <c r="S260" s="92">
        <f t="shared" si="205"/>
        <v>1</v>
      </c>
      <c r="T260" s="75" t="str">
        <f t="shared" si="205"/>
        <v xml:space="preserve">SplitHeatPump    </v>
      </c>
      <c r="U260" s="72">
        <f t="shared" si="195"/>
        <v>1</v>
      </c>
      <c r="V260" s="61">
        <f t="shared" si="196"/>
        <v>0</v>
      </c>
      <c r="W260" s="61">
        <f t="shared" si="197"/>
        <v>1</v>
      </c>
      <c r="X260" s="61">
        <f t="shared" si="186"/>
        <v>0</v>
      </c>
      <c r="Y260" s="61">
        <f t="shared" si="181"/>
        <v>0</v>
      </c>
      <c r="Z260" s="61">
        <v>-1</v>
      </c>
      <c r="AA260" s="61" t="s">
        <v>0</v>
      </c>
      <c r="AB260" s="62" t="str">
        <f t="shared" si="182"/>
        <v>DuctlessMultiSplitHeatPump - Ductless multi-split heat pump system</v>
      </c>
    </row>
    <row r="261" spans="1:30" x14ac:dyDescent="0.25">
      <c r="C261" s="61">
        <f t="shared" si="187"/>
        <v>2016</v>
      </c>
      <c r="D261" s="6">
        <f t="shared" si="188"/>
        <v>2017</v>
      </c>
      <c r="E261" t="s">
        <v>520</v>
      </c>
      <c r="F261" s="51">
        <v>13</v>
      </c>
      <c r="G261" s="66" t="s">
        <v>733</v>
      </c>
      <c r="H261" s="66" t="s">
        <v>733</v>
      </c>
      <c r="I261" s="11">
        <v>11.3</v>
      </c>
      <c r="J261" s="66" t="s">
        <v>734</v>
      </c>
      <c r="K261" s="66" t="s">
        <v>734</v>
      </c>
      <c r="L261" s="66" t="s">
        <v>712</v>
      </c>
      <c r="M261" s="66" t="s">
        <v>188</v>
      </c>
      <c r="N261" s="66" t="s">
        <v>189</v>
      </c>
      <c r="O261" s="72">
        <f t="shared" ref="O261:T261" si="206">O129</f>
        <v>1</v>
      </c>
      <c r="P261" s="61">
        <f t="shared" si="206"/>
        <v>-1</v>
      </c>
      <c r="Q261" s="61">
        <f t="shared" si="206"/>
        <v>1</v>
      </c>
      <c r="R261" s="61">
        <f t="shared" si="206"/>
        <v>1</v>
      </c>
      <c r="S261" s="92">
        <f t="shared" si="206"/>
        <v>1</v>
      </c>
      <c r="T261" s="75" t="str">
        <f t="shared" si="206"/>
        <v xml:space="preserve">SplitHeatPump    </v>
      </c>
      <c r="U261" s="72">
        <f t="shared" si="195"/>
        <v>1</v>
      </c>
      <c r="V261" s="61">
        <f t="shared" si="196"/>
        <v>0</v>
      </c>
      <c r="W261" s="61">
        <f t="shared" si="197"/>
        <v>1</v>
      </c>
      <c r="X261" s="61">
        <f t="shared" si="186"/>
        <v>0</v>
      </c>
      <c r="Y261" s="61">
        <f t="shared" ref="Y261:Y273" si="207">IF(AND(ISNUMBER(L261), L261&gt;0), 1, 0)</f>
        <v>0</v>
      </c>
      <c r="Z261" s="61">
        <v>-1</v>
      </c>
      <c r="AA261" s="61" t="s">
        <v>0</v>
      </c>
      <c r="AB261" s="62" t="str">
        <f t="shared" si="182"/>
        <v>DuctlessVRFHeatPump - Ductless variable refrigerant flow (VRF) heat pump system</v>
      </c>
    </row>
    <row r="262" spans="1:30" x14ac:dyDescent="0.25">
      <c r="C262" s="61">
        <f t="shared" si="187"/>
        <v>2016</v>
      </c>
      <c r="D262" s="6">
        <f t="shared" si="188"/>
        <v>2017</v>
      </c>
      <c r="E262" t="s">
        <v>182</v>
      </c>
      <c r="F262" s="63">
        <v>12</v>
      </c>
      <c r="G262" s="66" t="s">
        <v>733</v>
      </c>
      <c r="H262" s="66" t="s">
        <v>733</v>
      </c>
      <c r="I262" s="10">
        <v>10</v>
      </c>
      <c r="J262" s="66" t="s">
        <v>734</v>
      </c>
      <c r="K262" s="66" t="s">
        <v>734</v>
      </c>
      <c r="L262" s="66" t="s">
        <v>712</v>
      </c>
      <c r="M262" s="66" t="s">
        <v>188</v>
      </c>
      <c r="N262" s="66" t="s">
        <v>189</v>
      </c>
      <c r="O262" s="72">
        <f t="shared" ref="O262:T262" si="208">O130</f>
        <v>1</v>
      </c>
      <c r="P262" s="61">
        <f t="shared" si="208"/>
        <v>0</v>
      </c>
      <c r="Q262" s="61">
        <f t="shared" si="208"/>
        <v>1</v>
      </c>
      <c r="R262" s="61">
        <f t="shared" si="208"/>
        <v>0</v>
      </c>
      <c r="S262" s="92">
        <f t="shared" si="208"/>
        <v>1</v>
      </c>
      <c r="T262" s="75" t="str">
        <f t="shared" si="208"/>
        <v xml:space="preserve">SplitHeatPump    </v>
      </c>
      <c r="U262" s="72">
        <f t="shared" si="195"/>
        <v>1</v>
      </c>
      <c r="V262" s="61">
        <f t="shared" si="196"/>
        <v>0</v>
      </c>
      <c r="W262" s="61">
        <f t="shared" si="197"/>
        <v>1</v>
      </c>
      <c r="X262" s="61">
        <f t="shared" si="186"/>
        <v>0</v>
      </c>
      <c r="Y262" s="61">
        <f t="shared" si="207"/>
        <v>0</v>
      </c>
      <c r="Z262" s="61">
        <v>-1</v>
      </c>
      <c r="AA262" s="61" t="s">
        <v>0</v>
      </c>
      <c r="AB262" s="62" t="str">
        <f t="shared" si="182"/>
        <v xml:space="preserve">RoomHeatPump - Room (non-central) heat pump system                  </v>
      </c>
    </row>
    <row r="263" spans="1:30" x14ac:dyDescent="0.25">
      <c r="C263" s="61">
        <f t="shared" si="187"/>
        <v>2016</v>
      </c>
      <c r="D263" s="6">
        <f t="shared" si="188"/>
        <v>2017</v>
      </c>
      <c r="E263" t="s">
        <v>367</v>
      </c>
      <c r="F263" s="63">
        <v>14</v>
      </c>
      <c r="G263" s="66" t="s">
        <v>733</v>
      </c>
      <c r="H263" s="66" t="s">
        <v>733</v>
      </c>
      <c r="I263" s="10">
        <v>11.7</v>
      </c>
      <c r="J263" s="66" t="s">
        <v>734</v>
      </c>
      <c r="K263" s="66" t="s">
        <v>734</v>
      </c>
      <c r="L263" s="66" t="s">
        <v>712</v>
      </c>
      <c r="M263" s="66" t="s">
        <v>188</v>
      </c>
      <c r="N263" s="66" t="s">
        <v>189</v>
      </c>
      <c r="O263" s="72">
        <f t="shared" ref="O263:T263" si="209">O131</f>
        <v>1</v>
      </c>
      <c r="P263" s="61">
        <f t="shared" si="209"/>
        <v>-1</v>
      </c>
      <c r="Q263" s="61">
        <f t="shared" si="209"/>
        <v>1</v>
      </c>
      <c r="R263" s="61">
        <f t="shared" si="209"/>
        <v>1</v>
      </c>
      <c r="S263" s="92">
        <f t="shared" si="209"/>
        <v>1</v>
      </c>
      <c r="T263" s="75" t="str">
        <f t="shared" si="209"/>
        <v xml:space="preserve">SplitHeatPump    </v>
      </c>
      <c r="U263" s="72">
        <f t="shared" si="195"/>
        <v>1</v>
      </c>
      <c r="V263" s="61">
        <f t="shared" si="196"/>
        <v>0</v>
      </c>
      <c r="W263" s="61">
        <f t="shared" si="197"/>
        <v>1</v>
      </c>
      <c r="X263" s="61">
        <f t="shared" si="186"/>
        <v>0</v>
      </c>
      <c r="Y263" s="61">
        <f t="shared" si="207"/>
        <v>0</v>
      </c>
      <c r="Z263" s="61">
        <v>-1</v>
      </c>
      <c r="AA263" s="61" t="s">
        <v>0</v>
      </c>
      <c r="AB263" s="62" t="str">
        <f t="shared" si="182"/>
        <v>AirToWaterHeatPump - Air to water heat pump (able to heat DHW)</v>
      </c>
    </row>
    <row r="264" spans="1:30" x14ac:dyDescent="0.25">
      <c r="C264" s="61">
        <f t="shared" si="187"/>
        <v>2016</v>
      </c>
      <c r="D264" s="6">
        <f t="shared" si="188"/>
        <v>2017</v>
      </c>
      <c r="E264" t="s">
        <v>366</v>
      </c>
      <c r="F264" s="63">
        <v>14</v>
      </c>
      <c r="G264" s="66" t="s">
        <v>733</v>
      </c>
      <c r="H264" s="66" t="s">
        <v>733</v>
      </c>
      <c r="I264" s="10">
        <v>11.7</v>
      </c>
      <c r="J264" s="66" t="s">
        <v>734</v>
      </c>
      <c r="K264" s="66" t="s">
        <v>734</v>
      </c>
      <c r="L264" s="66" t="s">
        <v>712</v>
      </c>
      <c r="M264" s="66" t="s">
        <v>188</v>
      </c>
      <c r="N264" s="66" t="s">
        <v>189</v>
      </c>
      <c r="O264" s="72">
        <f t="shared" ref="O264:T267" si="210">O132</f>
        <v>1</v>
      </c>
      <c r="P264" s="61">
        <f t="shared" si="210"/>
        <v>-1</v>
      </c>
      <c r="Q264" s="61">
        <f t="shared" si="210"/>
        <v>1</v>
      </c>
      <c r="R264" s="61">
        <f t="shared" si="210"/>
        <v>1</v>
      </c>
      <c r="S264" s="92">
        <f t="shared" si="210"/>
        <v>1</v>
      </c>
      <c r="T264" s="75" t="str">
        <f t="shared" si="210"/>
        <v xml:space="preserve">SplitHeatPump    </v>
      </c>
      <c r="U264" s="72">
        <f t="shared" si="195"/>
        <v>1</v>
      </c>
      <c r="V264" s="61">
        <f t="shared" si="196"/>
        <v>0</v>
      </c>
      <c r="W264" s="61">
        <f t="shared" si="197"/>
        <v>1</v>
      </c>
      <c r="X264" s="61">
        <f t="shared" si="186"/>
        <v>0</v>
      </c>
      <c r="Y264" s="61">
        <f t="shared" si="207"/>
        <v>0</v>
      </c>
      <c r="Z264" s="61">
        <v>-1</v>
      </c>
      <c r="AA264" s="61" t="s">
        <v>0</v>
      </c>
      <c r="AB264" s="62" t="str">
        <f t="shared" si="182"/>
        <v>GroundSourceHeatPump - Ground source heat pump (able to heat DHW)</v>
      </c>
    </row>
    <row r="265" spans="1:30" x14ac:dyDescent="0.25">
      <c r="C265" s="61">
        <f t="shared" si="187"/>
        <v>2016</v>
      </c>
      <c r="D265" s="6">
        <f t="shared" si="188"/>
        <v>2017</v>
      </c>
      <c r="E265" t="s">
        <v>549</v>
      </c>
      <c r="F265" s="51">
        <v>14</v>
      </c>
      <c r="G265" s="66" t="s">
        <v>733</v>
      </c>
      <c r="H265" s="66" t="s">
        <v>733</v>
      </c>
      <c r="I265" s="11">
        <v>11.7</v>
      </c>
      <c r="J265" s="66" t="s">
        <v>734</v>
      </c>
      <c r="K265" s="66" t="s">
        <v>734</v>
      </c>
      <c r="L265" s="66" t="s">
        <v>712</v>
      </c>
      <c r="M265" s="66" t="s">
        <v>188</v>
      </c>
      <c r="N265" s="66" t="s">
        <v>189</v>
      </c>
      <c r="O265" s="72">
        <f t="shared" si="210"/>
        <v>1</v>
      </c>
      <c r="P265" s="61">
        <f t="shared" si="210"/>
        <v>-1</v>
      </c>
      <c r="Q265" s="61">
        <f t="shared" si="210"/>
        <v>1</v>
      </c>
      <c r="R265" s="61">
        <f t="shared" si="210"/>
        <v>0</v>
      </c>
      <c r="S265" s="92">
        <f t="shared" si="210"/>
        <v>0</v>
      </c>
      <c r="T265" s="75" t="str">
        <f t="shared" si="210"/>
        <v xml:space="preserve">SplitHeatPump    </v>
      </c>
      <c r="U265" s="72">
        <f t="shared" ref="U265" si="211">IF(AND(ISNUMBER(F265), F265&gt;0), 1, 0)</f>
        <v>1</v>
      </c>
      <c r="V265" s="61">
        <f t="shared" ref="V265:V273" si="212">IF(AND(ISNUMBER(G265), G265&gt;0), 1, 0)</f>
        <v>0</v>
      </c>
      <c r="W265" s="61">
        <f t="shared" ref="W265" si="213">IF(AND(ISNUMBER(I265), I265&gt;0), 1, 0)</f>
        <v>1</v>
      </c>
      <c r="X265" s="61">
        <f t="shared" si="186"/>
        <v>0</v>
      </c>
      <c r="Y265" s="61">
        <f t="shared" si="207"/>
        <v>0</v>
      </c>
      <c r="Z265" s="61">
        <v>-1</v>
      </c>
      <c r="AA265" s="61" t="s">
        <v>0</v>
      </c>
      <c r="AB265" s="62" t="str">
        <f t="shared" si="182"/>
        <v>VCHP - Variable Capacity Heat Pump</v>
      </c>
    </row>
    <row r="266" spans="1:30" x14ac:dyDescent="0.25">
      <c r="C266" s="61">
        <f t="shared" si="187"/>
        <v>2016</v>
      </c>
      <c r="D266" s="6">
        <f t="shared" si="188"/>
        <v>2017</v>
      </c>
      <c r="E266" t="s">
        <v>728</v>
      </c>
      <c r="F266" s="51">
        <v>14</v>
      </c>
      <c r="G266" s="66" t="s">
        <v>733</v>
      </c>
      <c r="H266" s="66" t="s">
        <v>733</v>
      </c>
      <c r="I266" s="11">
        <v>11.7</v>
      </c>
      <c r="J266" s="66" t="s">
        <v>734</v>
      </c>
      <c r="K266" s="66" t="s">
        <v>734</v>
      </c>
      <c r="L266" s="66" t="s">
        <v>712</v>
      </c>
      <c r="M266" s="66" t="s">
        <v>188</v>
      </c>
      <c r="N266" s="66" t="s">
        <v>189</v>
      </c>
      <c r="O266" s="72">
        <f t="shared" si="210"/>
        <v>1</v>
      </c>
      <c r="P266" s="61">
        <f t="shared" si="210"/>
        <v>-1</v>
      </c>
      <c r="Q266" s="61">
        <f t="shared" si="210"/>
        <v>1</v>
      </c>
      <c r="R266" s="61">
        <f t="shared" si="210"/>
        <v>0</v>
      </c>
      <c r="S266" s="92">
        <f t="shared" si="210"/>
        <v>0</v>
      </c>
      <c r="T266" s="75" t="str">
        <f t="shared" si="210"/>
        <v xml:space="preserve">SplitHeatPump    </v>
      </c>
      <c r="U266" s="72">
        <f t="shared" ref="U266" si="214">IF(AND(ISNUMBER(F266), F266&gt;0), 1, 0)</f>
        <v>1</v>
      </c>
      <c r="V266" s="61">
        <f t="shared" si="212"/>
        <v>0</v>
      </c>
      <c r="W266" s="61">
        <f t="shared" ref="W266" si="215">IF(AND(ISNUMBER(I266), I266&gt;0), 1, 0)</f>
        <v>1</v>
      </c>
      <c r="X266" s="61">
        <f t="shared" si="186"/>
        <v>0</v>
      </c>
      <c r="Y266" s="61">
        <f t="shared" ref="Y266" si="216">IF(AND(ISNUMBER(L266), L266&gt;0), 1, 0)</f>
        <v>0</v>
      </c>
      <c r="Z266" s="61">
        <v>-1</v>
      </c>
      <c r="AA266" s="61" t="s">
        <v>0</v>
      </c>
      <c r="AB266" s="62" t="str">
        <f t="shared" si="182"/>
        <v>VCHP2 - Variable Capacity Heat Pump</v>
      </c>
    </row>
    <row r="267" spans="1:30" x14ac:dyDescent="0.25">
      <c r="C267" s="61">
        <f t="shared" si="187"/>
        <v>2016</v>
      </c>
      <c r="D267" s="6">
        <f t="shared" si="188"/>
        <v>2017</v>
      </c>
      <c r="E267" t="s">
        <v>1065</v>
      </c>
      <c r="F267" s="51">
        <v>14</v>
      </c>
      <c r="G267" s="66" t="s">
        <v>733</v>
      </c>
      <c r="H267" s="66" t="s">
        <v>733</v>
      </c>
      <c r="I267" s="11">
        <v>11.7</v>
      </c>
      <c r="J267" s="66" t="s">
        <v>734</v>
      </c>
      <c r="K267" s="66" t="s">
        <v>734</v>
      </c>
      <c r="L267" s="66" t="s">
        <v>712</v>
      </c>
      <c r="M267" s="66" t="s">
        <v>188</v>
      </c>
      <c r="N267" s="66" t="s">
        <v>189</v>
      </c>
      <c r="O267" s="72">
        <f t="shared" si="210"/>
        <v>1</v>
      </c>
      <c r="P267" s="61">
        <f t="shared" si="210"/>
        <v>-1</v>
      </c>
      <c r="Q267" s="61">
        <f t="shared" si="210"/>
        <v>1</v>
      </c>
      <c r="R267" s="61">
        <f t="shared" si="210"/>
        <v>0</v>
      </c>
      <c r="S267" s="92">
        <f t="shared" si="210"/>
        <v>0</v>
      </c>
      <c r="T267" s="75" t="str">
        <f t="shared" si="210"/>
        <v xml:space="preserve">SplitHeatPump    </v>
      </c>
      <c r="U267" s="72">
        <f t="shared" ref="U267" si="217">IF(AND(ISNUMBER(F267), F267&gt;0), 1, 0)</f>
        <v>1</v>
      </c>
      <c r="V267" s="61">
        <f t="shared" ref="V267" si="218">IF(AND(ISNUMBER(G267), G267&gt;0), 1, 0)</f>
        <v>0</v>
      </c>
      <c r="W267" s="61">
        <f t="shared" ref="W267" si="219">IF(AND(ISNUMBER(I267), I267&gt;0), 1, 0)</f>
        <v>1</v>
      </c>
      <c r="X267" s="61">
        <f t="shared" ref="X267" si="220">IF(AND(ISNUMBER(J267), J267&gt;0), 1, 0)</f>
        <v>0</v>
      </c>
      <c r="Y267" s="61">
        <f t="shared" ref="Y267" si="221">IF(AND(ISNUMBER(L267), L267&gt;0), 1, 0)</f>
        <v>0</v>
      </c>
      <c r="Z267" s="61">
        <v>-1</v>
      </c>
      <c r="AA267" s="61" t="s">
        <v>0</v>
      </c>
      <c r="AB267" s="62" t="str">
        <f t="shared" si="182"/>
        <v>VCHP3</v>
      </c>
    </row>
    <row r="268" spans="1:30" x14ac:dyDescent="0.25">
      <c r="C268" s="61">
        <f t="shared" si="187"/>
        <v>2016</v>
      </c>
      <c r="D268" s="6">
        <f t="shared" si="188"/>
        <v>2017</v>
      </c>
      <c r="E268" t="s">
        <v>183</v>
      </c>
      <c r="F268" s="52">
        <v>0</v>
      </c>
      <c r="G268" s="66" t="s">
        <v>733</v>
      </c>
      <c r="H268" s="66" t="s">
        <v>733</v>
      </c>
      <c r="I268" s="66" t="s">
        <v>155</v>
      </c>
      <c r="J268" s="66" t="s">
        <v>734</v>
      </c>
      <c r="K268" s="66" t="s">
        <v>734</v>
      </c>
      <c r="L268" s="66" t="s">
        <v>712</v>
      </c>
      <c r="M268" s="66" t="s">
        <v>188</v>
      </c>
      <c r="N268" s="66" t="s">
        <v>189</v>
      </c>
      <c r="O268" s="72">
        <f t="shared" ref="O268:T268" si="222">O136</f>
        <v>0</v>
      </c>
      <c r="P268" s="61">
        <f t="shared" si="222"/>
        <v>1</v>
      </c>
      <c r="Q268" s="61">
        <f t="shared" si="222"/>
        <v>0</v>
      </c>
      <c r="R268" s="61">
        <f t="shared" si="222"/>
        <v>0</v>
      </c>
      <c r="S268" s="92">
        <f t="shared" si="222"/>
        <v>0</v>
      </c>
      <c r="T268" s="75" t="str">
        <f t="shared" si="222"/>
        <v xml:space="preserve">SplitAirCond     </v>
      </c>
      <c r="U268" s="72">
        <f t="shared" si="195"/>
        <v>0</v>
      </c>
      <c r="V268" s="61">
        <f t="shared" si="212"/>
        <v>0</v>
      </c>
      <c r="W268" s="61">
        <f t="shared" ref="W268:W273" si="223">IF(AND(ISNUMBER(I268), I268&gt;0), 1, 0)</f>
        <v>0</v>
      </c>
      <c r="X268" s="61">
        <f t="shared" si="186"/>
        <v>0</v>
      </c>
      <c r="Y268" s="61">
        <f t="shared" si="207"/>
        <v>0</v>
      </c>
      <c r="Z268" s="61">
        <v>-1</v>
      </c>
      <c r="AA268" s="61" t="s">
        <v>0</v>
      </c>
      <c r="AB268" s="62" t="str">
        <f t="shared" si="182"/>
        <v xml:space="preserve">EvapDirect - Direct evaporative cooling system                      </v>
      </c>
    </row>
    <row r="269" spans="1:30" x14ac:dyDescent="0.25">
      <c r="C269" s="61">
        <f t="shared" si="187"/>
        <v>2016</v>
      </c>
      <c r="D269" s="6">
        <f t="shared" si="188"/>
        <v>2017</v>
      </c>
      <c r="E269" t="s">
        <v>184</v>
      </c>
      <c r="F269" s="67" t="s">
        <v>154</v>
      </c>
      <c r="G269" s="66" t="s">
        <v>733</v>
      </c>
      <c r="H269" s="66" t="s">
        <v>733</v>
      </c>
      <c r="I269" s="48">
        <v>13</v>
      </c>
      <c r="J269" s="66" t="s">
        <v>734</v>
      </c>
      <c r="K269" s="66" t="s">
        <v>734</v>
      </c>
      <c r="L269" s="66" t="s">
        <v>712</v>
      </c>
      <c r="M269" s="66" t="s">
        <v>188</v>
      </c>
      <c r="N269" s="66" t="s">
        <v>189</v>
      </c>
      <c r="O269" s="72">
        <f t="shared" ref="O269:T269" si="224">O137</f>
        <v>0</v>
      </c>
      <c r="P269" s="61">
        <f t="shared" si="224"/>
        <v>1</v>
      </c>
      <c r="Q269" s="61">
        <f t="shared" si="224"/>
        <v>0</v>
      </c>
      <c r="R269" s="61">
        <f t="shared" si="224"/>
        <v>0</v>
      </c>
      <c r="S269" s="92">
        <f t="shared" si="224"/>
        <v>0</v>
      </c>
      <c r="T269" s="75" t="str">
        <f t="shared" si="224"/>
        <v xml:space="preserve">SplitAirCond     </v>
      </c>
      <c r="U269" s="72">
        <f t="shared" si="195"/>
        <v>0</v>
      </c>
      <c r="V269" s="61">
        <f t="shared" si="212"/>
        <v>0</v>
      </c>
      <c r="W269" s="61">
        <f t="shared" si="223"/>
        <v>1</v>
      </c>
      <c r="X269" s="61">
        <f t="shared" si="186"/>
        <v>0</v>
      </c>
      <c r="Y269" s="61">
        <f t="shared" si="207"/>
        <v>0</v>
      </c>
      <c r="Z269" s="61">
        <v>-1</v>
      </c>
      <c r="AA269" s="61" t="s">
        <v>0</v>
      </c>
      <c r="AB269" s="62" t="str">
        <f t="shared" si="182"/>
        <v xml:space="preserve">EvapIndirDirect - Indirect-direct evaporative cooling system        </v>
      </c>
    </row>
    <row r="270" spans="1:30" x14ac:dyDescent="0.25">
      <c r="C270" s="61">
        <f t="shared" si="187"/>
        <v>2016</v>
      </c>
      <c r="D270" s="6">
        <f t="shared" si="188"/>
        <v>2017</v>
      </c>
      <c r="E270" t="s">
        <v>185</v>
      </c>
      <c r="F270" s="67" t="s">
        <v>154</v>
      </c>
      <c r="G270" s="66" t="s">
        <v>733</v>
      </c>
      <c r="H270" s="66" t="s">
        <v>733</v>
      </c>
      <c r="I270" s="48">
        <v>13</v>
      </c>
      <c r="J270" s="66" t="s">
        <v>734</v>
      </c>
      <c r="K270" s="66" t="s">
        <v>734</v>
      </c>
      <c r="L270" s="66" t="s">
        <v>712</v>
      </c>
      <c r="M270" s="66" t="s">
        <v>188</v>
      </c>
      <c r="N270" s="66" t="s">
        <v>189</v>
      </c>
      <c r="O270" s="72">
        <f t="shared" ref="O270:T270" si="225">O138</f>
        <v>0</v>
      </c>
      <c r="P270" s="61">
        <f t="shared" si="225"/>
        <v>1</v>
      </c>
      <c r="Q270" s="61">
        <f t="shared" si="225"/>
        <v>0</v>
      </c>
      <c r="R270" s="61">
        <f t="shared" si="225"/>
        <v>0</v>
      </c>
      <c r="S270" s="92">
        <f t="shared" si="225"/>
        <v>0</v>
      </c>
      <c r="T270" s="75" t="str">
        <f t="shared" si="225"/>
        <v xml:space="preserve">SplitAirCond     </v>
      </c>
      <c r="U270" s="72">
        <f t="shared" si="195"/>
        <v>0</v>
      </c>
      <c r="V270" s="61">
        <f t="shared" si="212"/>
        <v>0</v>
      </c>
      <c r="W270" s="61">
        <f t="shared" si="223"/>
        <v>1</v>
      </c>
      <c r="X270" s="61">
        <f t="shared" si="186"/>
        <v>0</v>
      </c>
      <c r="Y270" s="61">
        <f t="shared" si="207"/>
        <v>0</v>
      </c>
      <c r="Z270" s="61">
        <v>-1</v>
      </c>
      <c r="AA270" s="61" t="s">
        <v>0</v>
      </c>
      <c r="AB270" s="62" t="str">
        <f t="shared" si="182"/>
        <v xml:space="preserve">EvapIndirect - Indirect evaporative cooling system                  </v>
      </c>
    </row>
    <row r="271" spans="1:30" x14ac:dyDescent="0.25">
      <c r="C271" s="61">
        <f t="shared" si="187"/>
        <v>2016</v>
      </c>
      <c r="D271" s="6">
        <f t="shared" si="188"/>
        <v>2017</v>
      </c>
      <c r="E271" t="s">
        <v>379</v>
      </c>
      <c r="F271" s="51">
        <v>16</v>
      </c>
      <c r="G271" s="66" t="s">
        <v>733</v>
      </c>
      <c r="H271" s="66" t="s">
        <v>733</v>
      </c>
      <c r="I271" s="11">
        <v>14</v>
      </c>
      <c r="J271" s="66" t="s">
        <v>734</v>
      </c>
      <c r="K271" s="66" t="s">
        <v>734</v>
      </c>
      <c r="L271" s="66" t="s">
        <v>712</v>
      </c>
      <c r="M271" s="66" t="s">
        <v>188</v>
      </c>
      <c r="N271" s="66" t="s">
        <v>189</v>
      </c>
      <c r="O271" s="72">
        <f t="shared" ref="O271:T271" si="226">O139</f>
        <v>1</v>
      </c>
      <c r="P271" s="61">
        <f t="shared" si="226"/>
        <v>1</v>
      </c>
      <c r="Q271" s="61">
        <f t="shared" si="226"/>
        <v>0</v>
      </c>
      <c r="R271" s="61">
        <f t="shared" si="226"/>
        <v>1</v>
      </c>
      <c r="S271" s="92">
        <f t="shared" si="226"/>
        <v>0</v>
      </c>
      <c r="T271" s="75" t="str">
        <f t="shared" si="226"/>
        <v xml:space="preserve">SplitAirCond     </v>
      </c>
      <c r="U271" s="72">
        <f t="shared" si="195"/>
        <v>1</v>
      </c>
      <c r="V271" s="61">
        <f t="shared" si="212"/>
        <v>0</v>
      </c>
      <c r="W271" s="61">
        <f t="shared" si="223"/>
        <v>1</v>
      </c>
      <c r="X271" s="61">
        <f t="shared" si="186"/>
        <v>0</v>
      </c>
      <c r="Y271" s="61">
        <f t="shared" si="207"/>
        <v>0</v>
      </c>
      <c r="Z271" s="61">
        <v>-1</v>
      </c>
      <c r="AA271" s="61" t="s">
        <v>0</v>
      </c>
      <c r="AB271" s="62" t="str">
        <f t="shared" si="182"/>
        <v>EvapCondenser - Evaporatively-cooled condenser for split AC systems</v>
      </c>
      <c r="AD271" s="125"/>
    </row>
    <row r="272" spans="1:30" x14ac:dyDescent="0.25">
      <c r="A272" t="s">
        <v>0</v>
      </c>
      <c r="C272" s="61">
        <f t="shared" si="187"/>
        <v>2016</v>
      </c>
      <c r="D272" s="6">
        <f t="shared" si="188"/>
        <v>2017</v>
      </c>
      <c r="E272" s="24" t="s">
        <v>186</v>
      </c>
      <c r="F272" s="67" t="s">
        <v>154</v>
      </c>
      <c r="G272" s="66" t="s">
        <v>733</v>
      </c>
      <c r="H272" s="66" t="s">
        <v>733</v>
      </c>
      <c r="I272" s="11">
        <v>0</v>
      </c>
      <c r="J272" s="66" t="s">
        <v>734</v>
      </c>
      <c r="K272" s="66" t="s">
        <v>734</v>
      </c>
      <c r="L272" s="66" t="s">
        <v>712</v>
      </c>
      <c r="M272" s="66" t="s">
        <v>188</v>
      </c>
      <c r="N272" s="66" t="s">
        <v>189</v>
      </c>
      <c r="O272" s="72">
        <f t="shared" ref="O272:T272" si="227">O140</f>
        <v>0</v>
      </c>
      <c r="P272" s="61">
        <f t="shared" si="227"/>
        <v>1</v>
      </c>
      <c r="Q272" s="61">
        <f t="shared" si="227"/>
        <v>0</v>
      </c>
      <c r="R272" s="61">
        <f t="shared" si="227"/>
        <v>1</v>
      </c>
      <c r="S272" s="92">
        <f t="shared" si="227"/>
        <v>0</v>
      </c>
      <c r="T272" s="75" t="str">
        <f t="shared" si="227"/>
        <v>N/A</v>
      </c>
      <c r="U272" s="72">
        <f t="shared" si="195"/>
        <v>0</v>
      </c>
      <c r="V272" s="61">
        <f t="shared" si="212"/>
        <v>0</v>
      </c>
      <c r="W272" s="61">
        <f t="shared" si="223"/>
        <v>0</v>
      </c>
      <c r="X272" s="61">
        <f t="shared" si="186"/>
        <v>0</v>
      </c>
      <c r="Y272" s="61">
        <f t="shared" si="207"/>
        <v>0</v>
      </c>
      <c r="Z272" s="61">
        <v>-1</v>
      </c>
      <c r="AA272" s="61" t="s">
        <v>0</v>
      </c>
      <c r="AB272" s="62" t="str">
        <f t="shared" si="182"/>
        <v xml:space="preserve">Evap/CC - Evaporatively-cooled condensers                           </v>
      </c>
    </row>
    <row r="273" spans="1:30" x14ac:dyDescent="0.25">
      <c r="A273" t="s">
        <v>0</v>
      </c>
      <c r="C273" s="61">
        <f t="shared" si="187"/>
        <v>2016</v>
      </c>
      <c r="D273" s="6">
        <f t="shared" si="188"/>
        <v>2017</v>
      </c>
      <c r="E273" s="24" t="s">
        <v>187</v>
      </c>
      <c r="F273" s="52">
        <v>0</v>
      </c>
      <c r="G273" s="66" t="s">
        <v>733</v>
      </c>
      <c r="H273" s="66" t="s">
        <v>733</v>
      </c>
      <c r="I273" s="11">
        <v>0</v>
      </c>
      <c r="J273" s="66" t="s">
        <v>734</v>
      </c>
      <c r="K273" s="66" t="s">
        <v>734</v>
      </c>
      <c r="L273" s="66" t="s">
        <v>712</v>
      </c>
      <c r="M273" s="66" t="s">
        <v>188</v>
      </c>
      <c r="N273" s="66" t="s">
        <v>189</v>
      </c>
      <c r="O273" s="72">
        <f t="shared" ref="O273:T273" si="228">O141</f>
        <v>0</v>
      </c>
      <c r="P273" s="61">
        <f t="shared" si="228"/>
        <v>1</v>
      </c>
      <c r="Q273" s="61">
        <f t="shared" si="228"/>
        <v>0</v>
      </c>
      <c r="R273" s="61">
        <f t="shared" si="228"/>
        <v>1</v>
      </c>
      <c r="S273" s="92">
        <f t="shared" si="228"/>
        <v>0</v>
      </c>
      <c r="T273" s="75" t="str">
        <f t="shared" si="228"/>
        <v>N/A</v>
      </c>
      <c r="U273" s="72">
        <f t="shared" si="195"/>
        <v>0</v>
      </c>
      <c r="V273" s="61">
        <f t="shared" si="212"/>
        <v>0</v>
      </c>
      <c r="W273" s="61">
        <f t="shared" si="223"/>
        <v>0</v>
      </c>
      <c r="X273" s="61">
        <f t="shared" si="186"/>
        <v>0</v>
      </c>
      <c r="Y273" s="61">
        <f t="shared" si="207"/>
        <v>0</v>
      </c>
      <c r="Z273" s="61">
        <v>-1</v>
      </c>
      <c r="AA273" s="61" t="s">
        <v>0</v>
      </c>
      <c r="AB273" s="62" t="str">
        <f t="shared" si="182"/>
        <v xml:space="preserve">IceSAC - Ice storage air conditioning system                        </v>
      </c>
    </row>
    <row r="274" spans="1:30" x14ac:dyDescent="0.25">
      <c r="A274" t="s">
        <v>537</v>
      </c>
      <c r="D274" s="126"/>
      <c r="E274" s="126"/>
      <c r="F274" s="126"/>
      <c r="G274" s="126"/>
      <c r="H274" s="126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  <c r="AA274" s="127"/>
      <c r="AB274" s="127"/>
    </row>
    <row r="275" spans="1:30" x14ac:dyDescent="0.25">
      <c r="C275" s="1">
        <v>2019</v>
      </c>
      <c r="D275" s="60">
        <v>2020</v>
      </c>
      <c r="E275" t="s">
        <v>173</v>
      </c>
      <c r="F275" s="67" t="s">
        <v>154</v>
      </c>
      <c r="G275" s="66" t="s">
        <v>733</v>
      </c>
      <c r="H275" s="66" t="s">
        <v>733</v>
      </c>
      <c r="I275" s="66" t="s">
        <v>155</v>
      </c>
      <c r="J275" s="66" t="s">
        <v>734</v>
      </c>
      <c r="K275" s="66" t="s">
        <v>734</v>
      </c>
      <c r="L275" s="66" t="s">
        <v>712</v>
      </c>
      <c r="M275" s="66" t="s">
        <v>188</v>
      </c>
      <c r="N275" s="66" t="s">
        <v>189</v>
      </c>
      <c r="O275" s="72">
        <f>O245</f>
        <v>1</v>
      </c>
      <c r="P275" s="61">
        <f t="shared" ref="P275:T275" si="229">P245</f>
        <v>-1</v>
      </c>
      <c r="Q275" s="61">
        <f t="shared" si="229"/>
        <v>0</v>
      </c>
      <c r="R275" s="61">
        <f t="shared" si="229"/>
        <v>0</v>
      </c>
      <c r="S275" s="92">
        <f t="shared" si="229"/>
        <v>0</v>
      </c>
      <c r="T275" s="75" t="str">
        <f t="shared" si="229"/>
        <v xml:space="preserve">SplitAirCond     </v>
      </c>
      <c r="U275" s="72">
        <f t="shared" ref="U275:U313" si="230">IF(AND(ISNUMBER(F275), F275&gt;0), 1, 0)</f>
        <v>0</v>
      </c>
      <c r="V275" s="61">
        <f>IF(AND(ISNUMBER(G275), G275&gt;0), 1, 0)</f>
        <v>0</v>
      </c>
      <c r="W275" s="61">
        <f>IF(AND(ISNUMBER(I275), I275&gt;0), 1, 0)</f>
        <v>0</v>
      </c>
      <c r="X275" s="61">
        <f>IF(AND(ISNUMBER(J275), J275&gt;0), 1, 0)</f>
        <v>0</v>
      </c>
      <c r="Y275" s="61">
        <f t="shared" ref="Y275:Y313" si="231">IF(AND(ISNUMBER(L275), L275&gt;0), 1, 0)</f>
        <v>0</v>
      </c>
      <c r="Z275" s="48">
        <v>0</v>
      </c>
      <c r="AA275" s="61" t="s">
        <v>0</v>
      </c>
      <c r="AB275" s="62" t="str">
        <f>AB245</f>
        <v xml:space="preserve">NoCooling - No cooling equipment                                    </v>
      </c>
    </row>
    <row r="276" spans="1:30" x14ac:dyDescent="0.25">
      <c r="C276" s="61">
        <f>C275</f>
        <v>2019</v>
      </c>
      <c r="D276" s="6">
        <f>D275</f>
        <v>2020</v>
      </c>
      <c r="E276" t="s">
        <v>174</v>
      </c>
      <c r="F276" s="63">
        <v>14</v>
      </c>
      <c r="G276" s="188">
        <v>14.3</v>
      </c>
      <c r="H276" s="189">
        <v>0.95</v>
      </c>
      <c r="I276" s="64">
        <v>11.7</v>
      </c>
      <c r="J276" s="188">
        <v>11.7</v>
      </c>
      <c r="K276" s="189">
        <v>0.96</v>
      </c>
      <c r="L276" s="66" t="s">
        <v>712</v>
      </c>
      <c r="M276" s="66" t="s">
        <v>188</v>
      </c>
      <c r="N276" s="66" t="s">
        <v>189</v>
      </c>
      <c r="O276" s="72">
        <f>O246</f>
        <v>1</v>
      </c>
      <c r="P276" s="61">
        <f t="shared" ref="P276:T276" si="232">P246</f>
        <v>1</v>
      </c>
      <c r="Q276" s="61">
        <f t="shared" si="232"/>
        <v>0</v>
      </c>
      <c r="R276" s="61">
        <f t="shared" si="232"/>
        <v>1</v>
      </c>
      <c r="S276" s="92">
        <f t="shared" si="232"/>
        <v>0</v>
      </c>
      <c r="T276" s="75" t="str">
        <f t="shared" si="232"/>
        <v xml:space="preserve">SplitAirCond     </v>
      </c>
      <c r="U276" s="72">
        <f t="shared" si="230"/>
        <v>1</v>
      </c>
      <c r="V276" s="61">
        <f>IF(AND(ISNUMBER(G276), G276&gt;0), 1, 0)</f>
        <v>1</v>
      </c>
      <c r="W276" s="61">
        <f>IF(AND(ISNUMBER(I276), I276&gt;0), 1, 0)</f>
        <v>1</v>
      </c>
      <c r="X276" s="61">
        <f>IF(AND(ISNUMBER(J276), J276&gt;0), 1, 0)</f>
        <v>1</v>
      </c>
      <c r="Y276" s="61">
        <f t="shared" si="231"/>
        <v>0</v>
      </c>
      <c r="Z276" s="48">
        <v>1</v>
      </c>
      <c r="AA276" s="61" t="s">
        <v>0</v>
      </c>
      <c r="AB276" s="62" t="str">
        <f>AB246</f>
        <v xml:space="preserve">SplitAirCond - Split air conditioning system                        </v>
      </c>
    </row>
    <row r="277" spans="1:30" x14ac:dyDescent="0.25">
      <c r="C277" s="61">
        <f t="shared" ref="C277:D277" si="233">C276</f>
        <v>2019</v>
      </c>
      <c r="D277" s="6">
        <f t="shared" si="233"/>
        <v>2020</v>
      </c>
      <c r="E277" s="176" t="s">
        <v>697</v>
      </c>
      <c r="F277" s="67" t="s">
        <v>154</v>
      </c>
      <c r="G277" s="66" t="s">
        <v>733</v>
      </c>
      <c r="H277" s="66" t="s">
        <v>733</v>
      </c>
      <c r="I277" s="53">
        <v>9.5</v>
      </c>
      <c r="J277" s="190">
        <f>I277*0.96</f>
        <v>9.1199999999999992</v>
      </c>
      <c r="K277" s="189">
        <v>0.96</v>
      </c>
      <c r="L277" s="66" t="s">
        <v>712</v>
      </c>
      <c r="M277" s="66" t="s">
        <v>188</v>
      </c>
      <c r="N277" s="66" t="s">
        <v>189</v>
      </c>
      <c r="O277" s="70">
        <v>1</v>
      </c>
      <c r="P277" s="48">
        <v>0</v>
      </c>
      <c r="Q277" s="48">
        <v>0</v>
      </c>
      <c r="R277" s="48">
        <v>0</v>
      </c>
      <c r="S277" s="70">
        <v>0</v>
      </c>
      <c r="T277" s="97" t="s">
        <v>174</v>
      </c>
      <c r="U277" s="70">
        <f t="shared" ref="U277:U278" si="234">IF(AND(ISNUMBER(F277), F277&gt;0), 1, 0)</f>
        <v>0</v>
      </c>
      <c r="V277" s="48">
        <f>IF(AND(ISNUMBER(G277), G277&gt;0), 1, 0)</f>
        <v>0</v>
      </c>
      <c r="W277" s="48">
        <f t="shared" ref="W277:W278" si="235">IF(AND(ISNUMBER(I277), I277&gt;0), 1, 0)</f>
        <v>1</v>
      </c>
      <c r="X277" s="61">
        <f t="shared" ref="X277:X313" si="236">IF(AND(ISNUMBER(J277), J277&gt;0), 1, 0)</f>
        <v>1</v>
      </c>
      <c r="Y277" s="61">
        <f t="shared" si="231"/>
        <v>0</v>
      </c>
      <c r="Z277" s="48">
        <v>1</v>
      </c>
      <c r="AA277" s="61" t="s">
        <v>0</v>
      </c>
      <c r="AB277" s="54" t="s">
        <v>702</v>
      </c>
      <c r="AD277" s="62" t="s">
        <v>704</v>
      </c>
    </row>
    <row r="278" spans="1:30" x14ac:dyDescent="0.25">
      <c r="C278" s="61">
        <f t="shared" ref="C278:D278" si="237">C277</f>
        <v>2019</v>
      </c>
      <c r="D278" s="6">
        <f t="shared" si="237"/>
        <v>2020</v>
      </c>
      <c r="E278" s="176" t="s">
        <v>698</v>
      </c>
      <c r="F278" s="67" t="s">
        <v>154</v>
      </c>
      <c r="G278" s="66" t="s">
        <v>733</v>
      </c>
      <c r="H278" s="66" t="s">
        <v>733</v>
      </c>
      <c r="I278" s="53">
        <v>11</v>
      </c>
      <c r="J278" s="188">
        <v>10.6</v>
      </c>
      <c r="K278" s="189">
        <v>0.96</v>
      </c>
      <c r="L278" s="66" t="s">
        <v>712</v>
      </c>
      <c r="M278" s="66" t="s">
        <v>188</v>
      </c>
      <c r="N278" s="66" t="s">
        <v>189</v>
      </c>
      <c r="O278" s="70">
        <v>1</v>
      </c>
      <c r="P278" s="48">
        <v>1</v>
      </c>
      <c r="Q278" s="48">
        <v>0</v>
      </c>
      <c r="R278" s="48">
        <v>0</v>
      </c>
      <c r="S278" s="70">
        <v>0</v>
      </c>
      <c r="T278" s="97" t="s">
        <v>174</v>
      </c>
      <c r="U278" s="70">
        <f t="shared" si="234"/>
        <v>0</v>
      </c>
      <c r="V278" s="48">
        <f>IF(AND(ISNUMBER(G278), G278&gt;0), 1, 0)</f>
        <v>0</v>
      </c>
      <c r="W278" s="48">
        <f t="shared" si="235"/>
        <v>1</v>
      </c>
      <c r="X278" s="61">
        <f t="shared" si="236"/>
        <v>1</v>
      </c>
      <c r="Y278" s="61">
        <f t="shared" si="231"/>
        <v>0</v>
      </c>
      <c r="Z278" s="48">
        <v>1</v>
      </c>
      <c r="AA278" s="61" t="s">
        <v>0</v>
      </c>
      <c r="AB278" s="54" t="s">
        <v>703</v>
      </c>
      <c r="AD278" s="62" t="s">
        <v>704</v>
      </c>
    </row>
    <row r="279" spans="1:30" x14ac:dyDescent="0.25">
      <c r="C279" s="61">
        <f t="shared" ref="C279:D279" si="238">C278</f>
        <v>2019</v>
      </c>
      <c r="D279" s="6">
        <f t="shared" si="238"/>
        <v>2020</v>
      </c>
      <c r="E279" t="s">
        <v>175</v>
      </c>
      <c r="F279" s="63">
        <v>14</v>
      </c>
      <c r="G279" s="188">
        <v>13.4</v>
      </c>
      <c r="H279" s="189">
        <v>0.96</v>
      </c>
      <c r="I279" s="64">
        <v>11</v>
      </c>
      <c r="J279" s="188">
        <v>10.6</v>
      </c>
      <c r="K279" s="189">
        <v>0.96</v>
      </c>
      <c r="L279" s="66" t="s">
        <v>712</v>
      </c>
      <c r="M279" s="66" t="s">
        <v>188</v>
      </c>
      <c r="N279" s="66" t="s">
        <v>189</v>
      </c>
      <c r="O279" s="72">
        <f t="shared" ref="O279:O284" si="239">O247</f>
        <v>1</v>
      </c>
      <c r="P279" s="61">
        <f t="shared" ref="P279:T279" si="240">P247</f>
        <v>1</v>
      </c>
      <c r="Q279" s="61">
        <f t="shared" si="240"/>
        <v>0</v>
      </c>
      <c r="R279" s="61">
        <f t="shared" si="240"/>
        <v>1</v>
      </c>
      <c r="S279" s="92">
        <f t="shared" si="240"/>
        <v>0</v>
      </c>
      <c r="T279" s="75" t="str">
        <f t="shared" si="240"/>
        <v xml:space="preserve">SplitAirCond     </v>
      </c>
      <c r="U279" s="72">
        <f t="shared" si="230"/>
        <v>1</v>
      </c>
      <c r="V279" s="61">
        <f t="shared" ref="V279:V298" si="241">IF(AND(ISNUMBER(G279), G279&gt;0), 1, 0)</f>
        <v>1</v>
      </c>
      <c r="W279" s="61">
        <f t="shared" ref="W279:W298" si="242">IF(AND(ISNUMBER(I279), I279&gt;0), 1, 0)</f>
        <v>1</v>
      </c>
      <c r="X279" s="61">
        <f t="shared" si="236"/>
        <v>1</v>
      </c>
      <c r="Y279" s="61">
        <f t="shared" si="231"/>
        <v>0</v>
      </c>
      <c r="Z279" s="48">
        <v>1</v>
      </c>
      <c r="AA279" s="61" t="s">
        <v>0</v>
      </c>
      <c r="AB279" s="62" t="str">
        <f t="shared" ref="AB279:AB284" si="243">AB247</f>
        <v xml:space="preserve">PkgAirCond - Central packaged A/C system (&lt; 65 kBtuh)               </v>
      </c>
      <c r="AD279" s="62"/>
    </row>
    <row r="280" spans="1:30" x14ac:dyDescent="0.25">
      <c r="C280" s="61">
        <f t="shared" ref="C280:D280" si="244">C279</f>
        <v>2019</v>
      </c>
      <c r="D280" s="6">
        <f t="shared" si="244"/>
        <v>2020</v>
      </c>
      <c r="E280" t="s">
        <v>176</v>
      </c>
      <c r="F280" s="51">
        <v>13</v>
      </c>
      <c r="G280" s="190">
        <f>F280*0.96</f>
        <v>12.48</v>
      </c>
      <c r="H280" s="190">
        <v>0.96</v>
      </c>
      <c r="I280" s="11">
        <v>0</v>
      </c>
      <c r="J280" s="11">
        <v>0</v>
      </c>
      <c r="K280" s="11">
        <v>1</v>
      </c>
      <c r="L280" s="66" t="s">
        <v>712</v>
      </c>
      <c r="M280" s="66" t="s">
        <v>188</v>
      </c>
      <c r="N280" s="66" t="s">
        <v>189</v>
      </c>
      <c r="O280" s="72">
        <f t="shared" si="239"/>
        <v>0</v>
      </c>
      <c r="P280" s="61">
        <f t="shared" ref="P280:T280" si="245">P248</f>
        <v>1</v>
      </c>
      <c r="Q280" s="61">
        <f t="shared" si="245"/>
        <v>0</v>
      </c>
      <c r="R280" s="61">
        <f t="shared" si="245"/>
        <v>1</v>
      </c>
      <c r="S280" s="92">
        <f t="shared" si="245"/>
        <v>0</v>
      </c>
      <c r="T280" s="75" t="str">
        <f t="shared" si="245"/>
        <v xml:space="preserve">SplitAirCond     </v>
      </c>
      <c r="U280" s="72">
        <f t="shared" si="230"/>
        <v>1</v>
      </c>
      <c r="V280" s="61">
        <f t="shared" si="241"/>
        <v>1</v>
      </c>
      <c r="W280" s="61">
        <f t="shared" si="242"/>
        <v>0</v>
      </c>
      <c r="X280" s="61">
        <f t="shared" si="236"/>
        <v>0</v>
      </c>
      <c r="Y280" s="61">
        <f t="shared" si="231"/>
        <v>0</v>
      </c>
      <c r="Z280" s="48">
        <v>1</v>
      </c>
      <c r="AA280" s="61" t="s">
        <v>0</v>
      </c>
      <c r="AB280" s="62" t="str">
        <f t="shared" si="243"/>
        <v xml:space="preserve">LrgPkgAirCond - Large packaged A/C system (&gt;= 65 kBtuh)             </v>
      </c>
      <c r="AD280" s="62"/>
    </row>
    <row r="281" spans="1:30" x14ac:dyDescent="0.25">
      <c r="C281" s="61">
        <f t="shared" ref="C281:D281" si="246">C280</f>
        <v>2019</v>
      </c>
      <c r="D281" s="6">
        <f t="shared" si="246"/>
        <v>2020</v>
      </c>
      <c r="E281" t="s">
        <v>515</v>
      </c>
      <c r="F281" s="51">
        <v>12</v>
      </c>
      <c r="G281" s="191">
        <v>12</v>
      </c>
      <c r="H281" s="189">
        <v>1</v>
      </c>
      <c r="I281" s="149">
        <v>10</v>
      </c>
      <c r="J281" s="190">
        <f>I281*0.96</f>
        <v>9.6</v>
      </c>
      <c r="K281" s="189">
        <v>0.96</v>
      </c>
      <c r="L281" s="66" t="s">
        <v>712</v>
      </c>
      <c r="M281" s="66" t="s">
        <v>188</v>
      </c>
      <c r="N281" s="66" t="s">
        <v>189</v>
      </c>
      <c r="O281" s="72">
        <f t="shared" si="239"/>
        <v>1</v>
      </c>
      <c r="P281" s="61">
        <f t="shared" ref="P281:T281" si="247">P249</f>
        <v>1</v>
      </c>
      <c r="Q281" s="61">
        <f t="shared" si="247"/>
        <v>0</v>
      </c>
      <c r="R281" s="61">
        <f t="shared" si="247"/>
        <v>1</v>
      </c>
      <c r="S281" s="92">
        <f t="shared" si="247"/>
        <v>0</v>
      </c>
      <c r="T281" s="75" t="str">
        <f t="shared" si="247"/>
        <v xml:space="preserve">SplitAirCond     </v>
      </c>
      <c r="U281" s="72">
        <f t="shared" si="230"/>
        <v>1</v>
      </c>
      <c r="V281" s="61">
        <f t="shared" si="241"/>
        <v>1</v>
      </c>
      <c r="W281" s="61">
        <f t="shared" si="242"/>
        <v>1</v>
      </c>
      <c r="X281" s="61">
        <f t="shared" si="236"/>
        <v>1</v>
      </c>
      <c r="Y281" s="61">
        <f t="shared" si="231"/>
        <v>0</v>
      </c>
      <c r="Z281" s="48">
        <v>1</v>
      </c>
      <c r="AA281" s="61" t="s">
        <v>0</v>
      </c>
      <c r="AB281" s="62" t="str">
        <f t="shared" si="243"/>
        <v xml:space="preserve">SDHVSplitAirCond - Small duct, high velocity, split A/C system                        </v>
      </c>
      <c r="AD281" s="62"/>
    </row>
    <row r="282" spans="1:30" x14ac:dyDescent="0.25">
      <c r="C282" s="61">
        <f t="shared" ref="C282:D282" si="248">C281</f>
        <v>2019</v>
      </c>
      <c r="D282" s="6">
        <f t="shared" si="248"/>
        <v>2020</v>
      </c>
      <c r="E282" t="s">
        <v>526</v>
      </c>
      <c r="F282" s="51">
        <v>14</v>
      </c>
      <c r="G282" s="188">
        <v>14.3</v>
      </c>
      <c r="H282" s="189">
        <v>0.95</v>
      </c>
      <c r="I282" s="11">
        <v>11.7</v>
      </c>
      <c r="J282" s="188">
        <v>11.7</v>
      </c>
      <c r="K282" s="189">
        <v>0.96</v>
      </c>
      <c r="L282" s="66" t="s">
        <v>712</v>
      </c>
      <c r="M282" s="66" t="s">
        <v>188</v>
      </c>
      <c r="N282" s="66" t="s">
        <v>189</v>
      </c>
      <c r="O282" s="72">
        <f t="shared" si="239"/>
        <v>1</v>
      </c>
      <c r="P282" s="61">
        <f t="shared" ref="P282:T282" si="249">P250</f>
        <v>0</v>
      </c>
      <c r="Q282" s="61">
        <f t="shared" si="249"/>
        <v>0</v>
      </c>
      <c r="R282" s="61">
        <f t="shared" si="249"/>
        <v>1</v>
      </c>
      <c r="S282" s="92">
        <f t="shared" si="249"/>
        <v>1</v>
      </c>
      <c r="T282" s="75" t="str">
        <f t="shared" si="249"/>
        <v xml:space="preserve">SplitAirCond     </v>
      </c>
      <c r="U282" s="72">
        <f t="shared" si="230"/>
        <v>1</v>
      </c>
      <c r="V282" s="61">
        <f t="shared" si="241"/>
        <v>1</v>
      </c>
      <c r="W282" s="61">
        <f t="shared" si="242"/>
        <v>1</v>
      </c>
      <c r="X282" s="61">
        <f t="shared" si="236"/>
        <v>1</v>
      </c>
      <c r="Y282" s="61">
        <f t="shared" si="231"/>
        <v>0</v>
      </c>
      <c r="Z282" s="48">
        <v>1</v>
      </c>
      <c r="AA282" s="61" t="s">
        <v>0</v>
      </c>
      <c r="AB282" s="62" t="str">
        <f t="shared" si="243"/>
        <v>DuctlessMiniSplitAirCond – Ductless mini-split A/C system</v>
      </c>
      <c r="AD282" s="62"/>
    </row>
    <row r="283" spans="1:30" x14ac:dyDescent="0.25">
      <c r="C283" s="61">
        <f t="shared" ref="C283:D283" si="250">C282</f>
        <v>2019</v>
      </c>
      <c r="D283" s="6">
        <f t="shared" si="250"/>
        <v>2020</v>
      </c>
      <c r="E283" t="s">
        <v>527</v>
      </c>
      <c r="F283" s="51">
        <v>14</v>
      </c>
      <c r="G283" s="188">
        <v>14.3</v>
      </c>
      <c r="H283" s="189">
        <v>0.95</v>
      </c>
      <c r="I283" s="11">
        <v>11.7</v>
      </c>
      <c r="J283" s="188">
        <v>11.7</v>
      </c>
      <c r="K283" s="189">
        <v>0.96</v>
      </c>
      <c r="L283" s="66" t="s">
        <v>712</v>
      </c>
      <c r="M283" s="66" t="s">
        <v>188</v>
      </c>
      <c r="N283" s="66" t="s">
        <v>189</v>
      </c>
      <c r="O283" s="72">
        <f t="shared" si="239"/>
        <v>1</v>
      </c>
      <c r="P283" s="61">
        <f t="shared" ref="P283:T283" si="251">P251</f>
        <v>0</v>
      </c>
      <c r="Q283" s="61">
        <f t="shared" si="251"/>
        <v>0</v>
      </c>
      <c r="R283" s="61">
        <f t="shared" si="251"/>
        <v>1</v>
      </c>
      <c r="S283" s="92">
        <f t="shared" si="251"/>
        <v>1</v>
      </c>
      <c r="T283" s="75" t="str">
        <f t="shared" si="251"/>
        <v xml:space="preserve">SplitAirCond     </v>
      </c>
      <c r="U283" s="72">
        <f t="shared" si="230"/>
        <v>1</v>
      </c>
      <c r="V283" s="61">
        <f t="shared" si="241"/>
        <v>1</v>
      </c>
      <c r="W283" s="61">
        <f t="shared" si="242"/>
        <v>1</v>
      </c>
      <c r="X283" s="61">
        <f t="shared" si="236"/>
        <v>1</v>
      </c>
      <c r="Y283" s="61">
        <f t="shared" si="231"/>
        <v>0</v>
      </c>
      <c r="Z283" s="48">
        <v>1</v>
      </c>
      <c r="AA283" s="61" t="s">
        <v>0</v>
      </c>
      <c r="AB283" s="62" t="str">
        <f t="shared" si="243"/>
        <v>DuctlessMultiSplitAirCond - Ductless multi-split A/C system</v>
      </c>
      <c r="AD283" s="62"/>
    </row>
    <row r="284" spans="1:30" x14ac:dyDescent="0.25">
      <c r="C284" s="61">
        <f t="shared" ref="C284:D284" si="252">C283</f>
        <v>2019</v>
      </c>
      <c r="D284" s="6">
        <f t="shared" si="252"/>
        <v>2020</v>
      </c>
      <c r="E284" t="s">
        <v>523</v>
      </c>
      <c r="F284" s="51">
        <v>13</v>
      </c>
      <c r="G284" s="189">
        <f>F284*0.96</f>
        <v>12.48</v>
      </c>
      <c r="H284" s="190">
        <v>0.96</v>
      </c>
      <c r="I284" s="11">
        <v>11.3</v>
      </c>
      <c r="J284" s="190">
        <f>I284*0.96</f>
        <v>10.848000000000001</v>
      </c>
      <c r="K284" s="189">
        <v>0.96</v>
      </c>
      <c r="L284" s="66" t="s">
        <v>712</v>
      </c>
      <c r="M284" s="66" t="s">
        <v>188</v>
      </c>
      <c r="N284" s="66" t="s">
        <v>189</v>
      </c>
      <c r="O284" s="72">
        <f t="shared" si="239"/>
        <v>1</v>
      </c>
      <c r="P284" s="61">
        <f t="shared" ref="P284:T284" si="253">P252</f>
        <v>0</v>
      </c>
      <c r="Q284" s="61">
        <f t="shared" si="253"/>
        <v>0</v>
      </c>
      <c r="R284" s="61">
        <f t="shared" si="253"/>
        <v>1</v>
      </c>
      <c r="S284" s="92">
        <f t="shared" si="253"/>
        <v>1</v>
      </c>
      <c r="T284" s="75" t="str">
        <f t="shared" si="253"/>
        <v xml:space="preserve">SplitAirCond     </v>
      </c>
      <c r="U284" s="72">
        <f t="shared" si="230"/>
        <v>1</v>
      </c>
      <c r="V284" s="61">
        <f t="shared" si="241"/>
        <v>1</v>
      </c>
      <c r="W284" s="61">
        <f t="shared" si="242"/>
        <v>1</v>
      </c>
      <c r="X284" s="61">
        <f t="shared" si="236"/>
        <v>1</v>
      </c>
      <c r="Y284" s="61">
        <f t="shared" si="231"/>
        <v>0</v>
      </c>
      <c r="Z284" s="48">
        <v>1</v>
      </c>
      <c r="AA284" s="61" t="s">
        <v>0</v>
      </c>
      <c r="AB284" s="62" t="str">
        <f t="shared" si="243"/>
        <v>DuctlessVRFAirCond - Ductless variable refrigerant flow (VRF) A/C system</v>
      </c>
      <c r="AD284" s="62"/>
    </row>
    <row r="285" spans="1:30" x14ac:dyDescent="0.25">
      <c r="C285" s="61">
        <f t="shared" ref="C285:D285" si="254">C284</f>
        <v>2019</v>
      </c>
      <c r="D285" s="6">
        <f t="shared" si="254"/>
        <v>2020</v>
      </c>
      <c r="E285" s="176" t="s">
        <v>699</v>
      </c>
      <c r="F285" s="182">
        <v>14</v>
      </c>
      <c r="G285" s="188">
        <v>14.3</v>
      </c>
      <c r="H285" s="189">
        <v>0.95</v>
      </c>
      <c r="I285" s="183">
        <v>11.7</v>
      </c>
      <c r="J285" s="188">
        <v>11.7</v>
      </c>
      <c r="K285" s="189">
        <v>0.96</v>
      </c>
      <c r="L285" s="66" t="s">
        <v>712</v>
      </c>
      <c r="M285" s="66" t="s">
        <v>188</v>
      </c>
      <c r="N285" s="66" t="s">
        <v>189</v>
      </c>
      <c r="O285" s="70">
        <v>1</v>
      </c>
      <c r="P285" s="48">
        <v>1</v>
      </c>
      <c r="Q285" s="48">
        <v>0</v>
      </c>
      <c r="R285" s="48">
        <v>1</v>
      </c>
      <c r="S285" s="70">
        <v>1</v>
      </c>
      <c r="T285" s="97" t="s">
        <v>174</v>
      </c>
      <c r="U285" s="70">
        <f t="shared" si="230"/>
        <v>1</v>
      </c>
      <c r="V285" s="48">
        <f t="shared" si="241"/>
        <v>1</v>
      </c>
      <c r="W285" s="48">
        <f t="shared" si="242"/>
        <v>1</v>
      </c>
      <c r="X285" s="61">
        <f t="shared" si="236"/>
        <v>1</v>
      </c>
      <c r="Y285" s="61">
        <f t="shared" si="231"/>
        <v>0</v>
      </c>
      <c r="Z285" s="48">
        <v>1</v>
      </c>
      <c r="AA285" s="61" t="s">
        <v>0</v>
      </c>
      <c r="AB285" s="54" t="s">
        <v>705</v>
      </c>
      <c r="AD285" s="62" t="s">
        <v>704</v>
      </c>
    </row>
    <row r="286" spans="1:30" x14ac:dyDescent="0.25">
      <c r="C286" s="61">
        <f t="shared" ref="C286:D286" si="255">C285</f>
        <v>2019</v>
      </c>
      <c r="D286" s="6">
        <f t="shared" si="255"/>
        <v>2020</v>
      </c>
      <c r="E286" s="176" t="s">
        <v>700</v>
      </c>
      <c r="F286" s="182">
        <v>14</v>
      </c>
      <c r="G286" s="188">
        <v>14.3</v>
      </c>
      <c r="H286" s="189">
        <v>0.95</v>
      </c>
      <c r="I286" s="183">
        <v>11.7</v>
      </c>
      <c r="J286" s="188">
        <v>11.7</v>
      </c>
      <c r="K286" s="189">
        <v>0.96</v>
      </c>
      <c r="L286" s="66" t="s">
        <v>712</v>
      </c>
      <c r="M286" s="66" t="s">
        <v>188</v>
      </c>
      <c r="N286" s="66" t="s">
        <v>189</v>
      </c>
      <c r="O286" s="70">
        <v>1</v>
      </c>
      <c r="P286" s="48">
        <v>1</v>
      </c>
      <c r="Q286" s="48">
        <v>0</v>
      </c>
      <c r="R286" s="48">
        <v>1</v>
      </c>
      <c r="S286" s="70">
        <v>1</v>
      </c>
      <c r="T286" s="97" t="s">
        <v>174</v>
      </c>
      <c r="U286" s="70">
        <f t="shared" si="230"/>
        <v>1</v>
      </c>
      <c r="V286" s="48">
        <f t="shared" si="241"/>
        <v>1</v>
      </c>
      <c r="W286" s="48">
        <f t="shared" si="242"/>
        <v>1</v>
      </c>
      <c r="X286" s="61">
        <f t="shared" si="236"/>
        <v>1</v>
      </c>
      <c r="Y286" s="61">
        <f t="shared" si="231"/>
        <v>0</v>
      </c>
      <c r="Z286" s="48">
        <v>1</v>
      </c>
      <c r="AA286" s="61" t="s">
        <v>0</v>
      </c>
      <c r="AB286" s="54" t="s">
        <v>706</v>
      </c>
      <c r="AD286" s="62" t="s">
        <v>704</v>
      </c>
    </row>
    <row r="287" spans="1:30" x14ac:dyDescent="0.25">
      <c r="C287" s="61">
        <f t="shared" ref="C287:D287" si="256">C286</f>
        <v>2019</v>
      </c>
      <c r="D287" s="6">
        <f t="shared" si="256"/>
        <v>2020</v>
      </c>
      <c r="E287" s="176" t="s">
        <v>701</v>
      </c>
      <c r="F287" s="182">
        <v>14</v>
      </c>
      <c r="G287" s="188">
        <v>14.3</v>
      </c>
      <c r="H287" s="189">
        <v>0.95</v>
      </c>
      <c r="I287" s="183">
        <v>11.7</v>
      </c>
      <c r="J287" s="188">
        <v>11.7</v>
      </c>
      <c r="K287" s="189">
        <v>0.96</v>
      </c>
      <c r="L287" s="66" t="s">
        <v>712</v>
      </c>
      <c r="M287" s="66" t="s">
        <v>188</v>
      </c>
      <c r="N287" s="66" t="s">
        <v>189</v>
      </c>
      <c r="O287" s="70">
        <v>1</v>
      </c>
      <c r="P287" s="48">
        <v>1</v>
      </c>
      <c r="Q287" s="48">
        <v>0</v>
      </c>
      <c r="R287" s="48">
        <v>1</v>
      </c>
      <c r="S287" s="70">
        <v>1</v>
      </c>
      <c r="T287" s="97" t="s">
        <v>174</v>
      </c>
      <c r="U287" s="70">
        <f t="shared" si="230"/>
        <v>1</v>
      </c>
      <c r="V287" s="48">
        <f t="shared" si="241"/>
        <v>1</v>
      </c>
      <c r="W287" s="48">
        <f t="shared" si="242"/>
        <v>1</v>
      </c>
      <c r="X287" s="61">
        <f t="shared" si="236"/>
        <v>1</v>
      </c>
      <c r="Y287" s="61">
        <f t="shared" si="231"/>
        <v>0</v>
      </c>
      <c r="Z287" s="48">
        <v>1</v>
      </c>
      <c r="AA287" s="61" t="s">
        <v>0</v>
      </c>
      <c r="AB287" s="54" t="s">
        <v>707</v>
      </c>
      <c r="AD287" s="62" t="s">
        <v>704</v>
      </c>
    </row>
    <row r="288" spans="1:30" x14ac:dyDescent="0.25">
      <c r="C288" s="61">
        <f t="shared" ref="C288:D288" si="257">C287</f>
        <v>2019</v>
      </c>
      <c r="D288" s="6">
        <f t="shared" si="257"/>
        <v>2020</v>
      </c>
      <c r="E288" t="s">
        <v>177</v>
      </c>
      <c r="F288" s="67" t="s">
        <v>154</v>
      </c>
      <c r="G288" s="66" t="s">
        <v>733</v>
      </c>
      <c r="H288" s="66" t="s">
        <v>733</v>
      </c>
      <c r="I288" s="66" t="s">
        <v>155</v>
      </c>
      <c r="J288" s="66" t="s">
        <v>734</v>
      </c>
      <c r="K288" s="66" t="s">
        <v>734</v>
      </c>
      <c r="L288" s="10">
        <v>9</v>
      </c>
      <c r="M288" s="66" t="s">
        <v>188</v>
      </c>
      <c r="N288" s="66" t="s">
        <v>189</v>
      </c>
      <c r="O288" s="72">
        <f>O253</f>
        <v>1</v>
      </c>
      <c r="P288" s="61">
        <f t="shared" ref="P288:T288" si="258">P253</f>
        <v>0</v>
      </c>
      <c r="Q288" s="61">
        <f t="shared" si="258"/>
        <v>0</v>
      </c>
      <c r="R288" s="61">
        <f t="shared" si="258"/>
        <v>0</v>
      </c>
      <c r="S288" s="92">
        <f t="shared" si="258"/>
        <v>1</v>
      </c>
      <c r="T288" s="75" t="str">
        <f t="shared" si="258"/>
        <v xml:space="preserve">SplitAirCond     </v>
      </c>
      <c r="U288" s="72">
        <f t="shared" si="230"/>
        <v>0</v>
      </c>
      <c r="V288" s="61">
        <f t="shared" si="241"/>
        <v>0</v>
      </c>
      <c r="W288" s="61">
        <f t="shared" si="242"/>
        <v>0</v>
      </c>
      <c r="X288" s="61">
        <f t="shared" si="236"/>
        <v>0</v>
      </c>
      <c r="Y288" s="61">
        <f t="shared" si="231"/>
        <v>1</v>
      </c>
      <c r="Z288" s="48">
        <v>0</v>
      </c>
      <c r="AA288" s="61" t="s">
        <v>0</v>
      </c>
      <c r="AB288" s="62" t="str">
        <f>AB253</f>
        <v xml:space="preserve">RoomAirCond - Non-central room A/C system                           </v>
      </c>
      <c r="AD288" s="62"/>
    </row>
    <row r="289" spans="1:30" x14ac:dyDescent="0.25">
      <c r="C289" s="61">
        <f t="shared" ref="C289:D289" si="259">C288</f>
        <v>2019</v>
      </c>
      <c r="D289" s="6">
        <f t="shared" si="259"/>
        <v>2020</v>
      </c>
      <c r="E289" t="s">
        <v>178</v>
      </c>
      <c r="F289" s="63">
        <v>14</v>
      </c>
      <c r="G289" s="188">
        <v>14.3</v>
      </c>
      <c r="H289" s="189">
        <v>0.95</v>
      </c>
      <c r="I289" s="10">
        <v>11.7</v>
      </c>
      <c r="J289" s="188">
        <v>11.7</v>
      </c>
      <c r="K289" s="189">
        <v>0.96</v>
      </c>
      <c r="L289" s="66" t="s">
        <v>712</v>
      </c>
      <c r="M289" s="66" t="s">
        <v>188</v>
      </c>
      <c r="N289" s="66" t="s">
        <v>189</v>
      </c>
      <c r="O289" s="72">
        <f>O254</f>
        <v>1</v>
      </c>
      <c r="P289" s="61">
        <f t="shared" ref="P289:T289" si="260">P254</f>
        <v>1</v>
      </c>
      <c r="Q289" s="61">
        <f t="shared" si="260"/>
        <v>1</v>
      </c>
      <c r="R289" s="61">
        <f t="shared" si="260"/>
        <v>1</v>
      </c>
      <c r="S289" s="92">
        <f t="shared" si="260"/>
        <v>0</v>
      </c>
      <c r="T289" s="75" t="str">
        <f t="shared" si="260"/>
        <v xml:space="preserve">SplitHeatPump    </v>
      </c>
      <c r="U289" s="72">
        <f t="shared" si="230"/>
        <v>1</v>
      </c>
      <c r="V289" s="61">
        <f t="shared" si="241"/>
        <v>1</v>
      </c>
      <c r="W289" s="61">
        <f t="shared" si="242"/>
        <v>1</v>
      </c>
      <c r="X289" s="61">
        <f t="shared" si="236"/>
        <v>1</v>
      </c>
      <c r="Y289" s="61">
        <f t="shared" si="231"/>
        <v>0</v>
      </c>
      <c r="Z289" s="48">
        <v>1</v>
      </c>
      <c r="AA289" s="61" t="s">
        <v>0</v>
      </c>
      <c r="AB289" s="62" t="str">
        <f>AB254</f>
        <v xml:space="preserve">SplitHeatPump - Split heat pump system                              </v>
      </c>
      <c r="AD289" s="62"/>
    </row>
    <row r="290" spans="1:30" x14ac:dyDescent="0.25">
      <c r="C290" s="61">
        <f t="shared" ref="C290:D290" si="261">C289</f>
        <v>2019</v>
      </c>
      <c r="D290" s="6">
        <f t="shared" si="261"/>
        <v>2020</v>
      </c>
      <c r="E290" s="176" t="s">
        <v>682</v>
      </c>
      <c r="F290" s="67" t="s">
        <v>154</v>
      </c>
      <c r="G290" s="66" t="s">
        <v>733</v>
      </c>
      <c r="H290" s="66" t="s">
        <v>733</v>
      </c>
      <c r="I290" s="53">
        <v>9.5</v>
      </c>
      <c r="J290" s="190">
        <f>I290*0.96</f>
        <v>9.1199999999999992</v>
      </c>
      <c r="K290" s="189">
        <v>0.96</v>
      </c>
      <c r="L290" s="66" t="s">
        <v>712</v>
      </c>
      <c r="M290" s="66" t="s">
        <v>188</v>
      </c>
      <c r="N290" s="66" t="s">
        <v>189</v>
      </c>
      <c r="O290" s="70">
        <v>1</v>
      </c>
      <c r="P290" s="48">
        <v>0</v>
      </c>
      <c r="Q290" s="48">
        <v>1</v>
      </c>
      <c r="R290" s="48">
        <v>0</v>
      </c>
      <c r="S290" s="70">
        <v>0</v>
      </c>
      <c r="T290" s="97" t="s">
        <v>178</v>
      </c>
      <c r="U290" s="70">
        <f t="shared" si="230"/>
        <v>0</v>
      </c>
      <c r="V290" s="48">
        <f t="shared" si="241"/>
        <v>0</v>
      </c>
      <c r="W290" s="48">
        <f t="shared" si="242"/>
        <v>1</v>
      </c>
      <c r="X290" s="61">
        <f t="shared" si="236"/>
        <v>1</v>
      </c>
      <c r="Y290" s="61">
        <f t="shared" si="231"/>
        <v>0</v>
      </c>
      <c r="Z290" s="48">
        <v>1</v>
      </c>
      <c r="AA290" s="61" t="s">
        <v>0</v>
      </c>
      <c r="AB290" s="54" t="s">
        <v>684</v>
      </c>
      <c r="AD290" s="62" t="s">
        <v>704</v>
      </c>
    </row>
    <row r="291" spans="1:30" x14ac:dyDescent="0.25">
      <c r="C291" s="61">
        <f t="shared" ref="C291:D291" si="262">C290</f>
        <v>2019</v>
      </c>
      <c r="D291" s="6">
        <f t="shared" si="262"/>
        <v>2020</v>
      </c>
      <c r="E291" s="176" t="s">
        <v>683</v>
      </c>
      <c r="F291" s="67" t="s">
        <v>154</v>
      </c>
      <c r="G291" s="66" t="s">
        <v>733</v>
      </c>
      <c r="H291" s="66" t="s">
        <v>733</v>
      </c>
      <c r="I291" s="53">
        <v>11</v>
      </c>
      <c r="J291" s="190">
        <f>I291*0.96</f>
        <v>10.559999999999999</v>
      </c>
      <c r="K291" s="189">
        <v>0.96</v>
      </c>
      <c r="L291" s="66" t="s">
        <v>712</v>
      </c>
      <c r="M291" s="66" t="s">
        <v>188</v>
      </c>
      <c r="N291" s="66" t="s">
        <v>189</v>
      </c>
      <c r="O291" s="70">
        <v>1</v>
      </c>
      <c r="P291" s="48">
        <v>1</v>
      </c>
      <c r="Q291" s="48">
        <v>1</v>
      </c>
      <c r="R291" s="48">
        <v>0</v>
      </c>
      <c r="S291" s="70">
        <v>0</v>
      </c>
      <c r="T291" s="97" t="s">
        <v>178</v>
      </c>
      <c r="U291" s="70">
        <f t="shared" si="230"/>
        <v>0</v>
      </c>
      <c r="V291" s="48">
        <f t="shared" si="241"/>
        <v>0</v>
      </c>
      <c r="W291" s="48">
        <f t="shared" si="242"/>
        <v>1</v>
      </c>
      <c r="X291" s="61">
        <f t="shared" si="236"/>
        <v>1</v>
      </c>
      <c r="Y291" s="61">
        <f t="shared" si="231"/>
        <v>0</v>
      </c>
      <c r="Z291" s="48">
        <v>1</v>
      </c>
      <c r="AA291" s="61" t="s">
        <v>0</v>
      </c>
      <c r="AB291" s="54" t="s">
        <v>685</v>
      </c>
      <c r="AD291" s="62" t="s">
        <v>704</v>
      </c>
    </row>
    <row r="292" spans="1:30" x14ac:dyDescent="0.25">
      <c r="C292" s="61">
        <f t="shared" ref="C292:D292" si="263">C291</f>
        <v>2019</v>
      </c>
      <c r="D292" s="6">
        <f t="shared" si="263"/>
        <v>2020</v>
      </c>
      <c r="E292" t="s">
        <v>179</v>
      </c>
      <c r="F292" s="63">
        <v>14</v>
      </c>
      <c r="G292" s="188">
        <v>14.3</v>
      </c>
      <c r="H292" s="189">
        <v>0.95</v>
      </c>
      <c r="I292" s="10">
        <v>11.7</v>
      </c>
      <c r="J292" s="188">
        <v>11.7</v>
      </c>
      <c r="K292" s="189">
        <v>0.96</v>
      </c>
      <c r="L292" s="66" t="s">
        <v>712</v>
      </c>
      <c r="M292" s="66" t="s">
        <v>188</v>
      </c>
      <c r="N292" s="66" t="s">
        <v>189</v>
      </c>
      <c r="O292" s="72">
        <f t="shared" ref="O292:O298" si="264">O255</f>
        <v>1</v>
      </c>
      <c r="P292" s="61">
        <f t="shared" ref="P292:T292" si="265">P255</f>
        <v>1</v>
      </c>
      <c r="Q292" s="61">
        <f t="shared" si="265"/>
        <v>1</v>
      </c>
      <c r="R292" s="61">
        <f t="shared" si="265"/>
        <v>1</v>
      </c>
      <c r="S292" s="92">
        <f t="shared" si="265"/>
        <v>0</v>
      </c>
      <c r="T292" s="75" t="str">
        <f t="shared" si="265"/>
        <v xml:space="preserve">SplitHeatPump    </v>
      </c>
      <c r="U292" s="72">
        <f t="shared" si="230"/>
        <v>1</v>
      </c>
      <c r="V292" s="61">
        <f t="shared" si="241"/>
        <v>1</v>
      </c>
      <c r="W292" s="61">
        <f t="shared" si="242"/>
        <v>1</v>
      </c>
      <c r="X292" s="61">
        <f t="shared" si="236"/>
        <v>1</v>
      </c>
      <c r="Y292" s="61">
        <f t="shared" si="231"/>
        <v>0</v>
      </c>
      <c r="Z292" s="48">
        <v>1</v>
      </c>
      <c r="AA292" s="61" t="s">
        <v>0</v>
      </c>
      <c r="AB292" s="62" t="str">
        <f t="shared" ref="AB292:AB298" si="266">AB255</f>
        <v xml:space="preserve">PkgHeatPump - Central single-packaged heat pump system (&lt; 65 kBtuh) </v>
      </c>
      <c r="AD292" s="62"/>
    </row>
    <row r="293" spans="1:30" x14ac:dyDescent="0.25">
      <c r="C293" s="61">
        <f t="shared" ref="C293:D293" si="267">C292</f>
        <v>2019</v>
      </c>
      <c r="D293" s="6">
        <f t="shared" si="267"/>
        <v>2020</v>
      </c>
      <c r="E293" t="s">
        <v>180</v>
      </c>
      <c r="F293" s="67" t="s">
        <v>154</v>
      </c>
      <c r="G293" s="66" t="s">
        <v>733</v>
      </c>
      <c r="H293" s="66" t="s">
        <v>733</v>
      </c>
      <c r="I293" s="11">
        <v>0</v>
      </c>
      <c r="J293" s="11">
        <v>0</v>
      </c>
      <c r="K293" s="11">
        <v>1</v>
      </c>
      <c r="L293" s="66" t="s">
        <v>712</v>
      </c>
      <c r="M293" s="66" t="s">
        <v>188</v>
      </c>
      <c r="N293" s="66" t="s">
        <v>189</v>
      </c>
      <c r="O293" s="72">
        <f t="shared" si="264"/>
        <v>0</v>
      </c>
      <c r="P293" s="61">
        <f t="shared" ref="P293:T293" si="268">P256</f>
        <v>1</v>
      </c>
      <c r="Q293" s="61">
        <f t="shared" si="268"/>
        <v>1</v>
      </c>
      <c r="R293" s="61">
        <f t="shared" si="268"/>
        <v>1</v>
      </c>
      <c r="S293" s="92">
        <f t="shared" si="268"/>
        <v>0</v>
      </c>
      <c r="T293" s="75" t="str">
        <f t="shared" si="268"/>
        <v xml:space="preserve">SplitHeatPump    </v>
      </c>
      <c r="U293" s="72">
        <f t="shared" si="230"/>
        <v>0</v>
      </c>
      <c r="V293" s="61">
        <f t="shared" si="241"/>
        <v>0</v>
      </c>
      <c r="W293" s="61">
        <f t="shared" si="242"/>
        <v>0</v>
      </c>
      <c r="X293" s="61">
        <f t="shared" si="236"/>
        <v>0</v>
      </c>
      <c r="Y293" s="61">
        <f t="shared" si="231"/>
        <v>0</v>
      </c>
      <c r="Z293" s="48">
        <v>1</v>
      </c>
      <c r="AA293" s="61" t="s">
        <v>0</v>
      </c>
      <c r="AB293" s="62" t="str">
        <f t="shared" si="266"/>
        <v xml:space="preserve">LrgPkgHeatPump - Large packaged heat pump system (&gt;= 65 kBtuh)      </v>
      </c>
      <c r="AD293" s="62"/>
    </row>
    <row r="294" spans="1:30" x14ac:dyDescent="0.25">
      <c r="A294" t="s">
        <v>0</v>
      </c>
      <c r="C294" s="61">
        <f t="shared" ref="C294:D294" si="269">C293</f>
        <v>2019</v>
      </c>
      <c r="D294" s="6">
        <f t="shared" si="269"/>
        <v>2020</v>
      </c>
      <c r="E294" s="24" t="s">
        <v>181</v>
      </c>
      <c r="F294" s="67" t="s">
        <v>154</v>
      </c>
      <c r="G294" s="66" t="s">
        <v>733</v>
      </c>
      <c r="H294" s="66" t="s">
        <v>733</v>
      </c>
      <c r="I294" s="66" t="s">
        <v>155</v>
      </c>
      <c r="J294" s="66" t="s">
        <v>734</v>
      </c>
      <c r="K294" s="66" t="s">
        <v>734</v>
      </c>
      <c r="L294" s="66" t="s">
        <v>712</v>
      </c>
      <c r="M294" s="11">
        <v>0</v>
      </c>
      <c r="N294" s="11">
        <v>0</v>
      </c>
      <c r="O294" s="72">
        <f t="shared" si="264"/>
        <v>0</v>
      </c>
      <c r="P294" s="61">
        <f t="shared" ref="P294:T294" si="270">P257</f>
        <v>1</v>
      </c>
      <c r="Q294" s="61">
        <f t="shared" si="270"/>
        <v>0</v>
      </c>
      <c r="R294" s="61">
        <f t="shared" si="270"/>
        <v>1</v>
      </c>
      <c r="S294" s="92">
        <f t="shared" si="270"/>
        <v>0</v>
      </c>
      <c r="T294" s="75" t="str">
        <f t="shared" si="270"/>
        <v>N/A</v>
      </c>
      <c r="U294" s="72">
        <f t="shared" si="230"/>
        <v>0</v>
      </c>
      <c r="V294" s="61">
        <f t="shared" si="241"/>
        <v>0</v>
      </c>
      <c r="W294" s="61">
        <f t="shared" si="242"/>
        <v>0</v>
      </c>
      <c r="X294" s="61">
        <f t="shared" si="236"/>
        <v>0</v>
      </c>
      <c r="Y294" s="61">
        <f t="shared" si="231"/>
        <v>0</v>
      </c>
      <c r="Z294" s="48">
        <v>1</v>
      </c>
      <c r="AA294" s="61" t="s">
        <v>0</v>
      </c>
      <c r="AB294" s="62" t="str">
        <f t="shared" si="266"/>
        <v xml:space="preserve">GasCooling - Gas absorption cooling                                 </v>
      </c>
      <c r="AD294" s="62"/>
    </row>
    <row r="295" spans="1:30" x14ac:dyDescent="0.25">
      <c r="C295" s="61">
        <f t="shared" ref="C295:D295" si="271">C294</f>
        <v>2019</v>
      </c>
      <c r="D295" s="6">
        <f t="shared" si="271"/>
        <v>2020</v>
      </c>
      <c r="E295" t="s">
        <v>511</v>
      </c>
      <c r="F295" s="51">
        <v>12</v>
      </c>
      <c r="G295" s="191">
        <v>12</v>
      </c>
      <c r="H295" s="189">
        <v>1</v>
      </c>
      <c r="I295" s="149">
        <v>10</v>
      </c>
      <c r="J295" s="190">
        <f>I295*0.96</f>
        <v>9.6</v>
      </c>
      <c r="K295" s="189">
        <v>0.96</v>
      </c>
      <c r="L295" s="66" t="s">
        <v>712</v>
      </c>
      <c r="M295" s="66" t="s">
        <v>188</v>
      </c>
      <c r="N295" s="66" t="s">
        <v>189</v>
      </c>
      <c r="O295" s="72">
        <f t="shared" si="264"/>
        <v>1</v>
      </c>
      <c r="P295" s="61">
        <f t="shared" ref="P295:T295" si="272">P258</f>
        <v>1</v>
      </c>
      <c r="Q295" s="61">
        <f t="shared" si="272"/>
        <v>1</v>
      </c>
      <c r="R295" s="61">
        <f t="shared" si="272"/>
        <v>1</v>
      </c>
      <c r="S295" s="92">
        <f t="shared" si="272"/>
        <v>0</v>
      </c>
      <c r="T295" s="75" t="str">
        <f t="shared" si="272"/>
        <v xml:space="preserve">SplitHeatPump    </v>
      </c>
      <c r="U295" s="72">
        <f t="shared" si="230"/>
        <v>1</v>
      </c>
      <c r="V295" s="61">
        <f t="shared" si="241"/>
        <v>1</v>
      </c>
      <c r="W295" s="61">
        <f t="shared" si="242"/>
        <v>1</v>
      </c>
      <c r="X295" s="61">
        <f t="shared" si="236"/>
        <v>1</v>
      </c>
      <c r="Y295" s="61">
        <f t="shared" si="231"/>
        <v>0</v>
      </c>
      <c r="Z295" s="48">
        <v>1</v>
      </c>
      <c r="AA295" s="61" t="s">
        <v>0</v>
      </c>
      <c r="AB295" s="62" t="str">
        <f t="shared" si="266"/>
        <v xml:space="preserve">SDHVSplitHeatPump - Small duct, high velocity, central split heat pump                              </v>
      </c>
      <c r="AD295" s="62"/>
    </row>
    <row r="296" spans="1:30" x14ac:dyDescent="0.25">
      <c r="C296" s="61">
        <f t="shared" ref="C296:D296" si="273">C295</f>
        <v>2019</v>
      </c>
      <c r="D296" s="6">
        <f t="shared" si="273"/>
        <v>2020</v>
      </c>
      <c r="E296" t="s">
        <v>530</v>
      </c>
      <c r="F296" s="51">
        <v>14</v>
      </c>
      <c r="G296" s="188">
        <v>14.3</v>
      </c>
      <c r="H296" s="189">
        <v>0.95</v>
      </c>
      <c r="I296" s="11">
        <v>11.7</v>
      </c>
      <c r="J296" s="188">
        <v>11.7</v>
      </c>
      <c r="K296" s="189">
        <v>0.96</v>
      </c>
      <c r="L296" s="66" t="s">
        <v>712</v>
      </c>
      <c r="M296" s="66" t="s">
        <v>188</v>
      </c>
      <c r="N296" s="66" t="s">
        <v>189</v>
      </c>
      <c r="O296" s="72">
        <f t="shared" si="264"/>
        <v>1</v>
      </c>
      <c r="P296" s="61">
        <f t="shared" ref="P296:T296" si="274">P259</f>
        <v>0</v>
      </c>
      <c r="Q296" s="61">
        <f t="shared" si="274"/>
        <v>1</v>
      </c>
      <c r="R296" s="61">
        <f t="shared" si="274"/>
        <v>1</v>
      </c>
      <c r="S296" s="92">
        <f t="shared" si="274"/>
        <v>1</v>
      </c>
      <c r="T296" s="75" t="str">
        <f t="shared" si="274"/>
        <v xml:space="preserve">SplitHeatPump    </v>
      </c>
      <c r="U296" s="72">
        <f t="shared" si="230"/>
        <v>1</v>
      </c>
      <c r="V296" s="61">
        <f t="shared" si="241"/>
        <v>1</v>
      </c>
      <c r="W296" s="61">
        <f t="shared" si="242"/>
        <v>1</v>
      </c>
      <c r="X296" s="61">
        <f t="shared" si="236"/>
        <v>1</v>
      </c>
      <c r="Y296" s="61">
        <f t="shared" si="231"/>
        <v>0</v>
      </c>
      <c r="Z296" s="48">
        <v>1</v>
      </c>
      <c r="AA296" s="61" t="s">
        <v>0</v>
      </c>
      <c r="AB296" s="62" t="str">
        <f t="shared" si="266"/>
        <v>DuctlessMiniSplitHeatPump – Ductless mini-split heat pump system</v>
      </c>
      <c r="AD296" s="62"/>
    </row>
    <row r="297" spans="1:30" x14ac:dyDescent="0.25">
      <c r="C297" s="61">
        <f t="shared" ref="C297:D297" si="275">C296</f>
        <v>2019</v>
      </c>
      <c r="D297" s="6">
        <f t="shared" si="275"/>
        <v>2020</v>
      </c>
      <c r="E297" t="s">
        <v>531</v>
      </c>
      <c r="F297" s="51">
        <v>14</v>
      </c>
      <c r="G297" s="188">
        <v>14.3</v>
      </c>
      <c r="H297" s="189">
        <v>0.95</v>
      </c>
      <c r="I297" s="11">
        <v>11.7</v>
      </c>
      <c r="J297" s="188">
        <v>11.7</v>
      </c>
      <c r="K297" s="189">
        <v>0.96</v>
      </c>
      <c r="L297" s="66" t="s">
        <v>712</v>
      </c>
      <c r="M297" s="66" t="s">
        <v>188</v>
      </c>
      <c r="N297" s="66" t="s">
        <v>189</v>
      </c>
      <c r="O297" s="72">
        <f t="shared" si="264"/>
        <v>1</v>
      </c>
      <c r="P297" s="61">
        <f t="shared" ref="P297:T297" si="276">P260</f>
        <v>0</v>
      </c>
      <c r="Q297" s="61">
        <f t="shared" si="276"/>
        <v>1</v>
      </c>
      <c r="R297" s="61">
        <f t="shared" si="276"/>
        <v>1</v>
      </c>
      <c r="S297" s="92">
        <f t="shared" si="276"/>
        <v>1</v>
      </c>
      <c r="T297" s="75" t="str">
        <f t="shared" si="276"/>
        <v xml:space="preserve">SplitHeatPump    </v>
      </c>
      <c r="U297" s="72">
        <f t="shared" si="230"/>
        <v>1</v>
      </c>
      <c r="V297" s="61">
        <f t="shared" si="241"/>
        <v>1</v>
      </c>
      <c r="W297" s="61">
        <f t="shared" si="242"/>
        <v>1</v>
      </c>
      <c r="X297" s="61">
        <f t="shared" si="236"/>
        <v>1</v>
      </c>
      <c r="Y297" s="61">
        <f t="shared" si="231"/>
        <v>0</v>
      </c>
      <c r="Z297" s="48">
        <v>1</v>
      </c>
      <c r="AA297" s="61" t="s">
        <v>0</v>
      </c>
      <c r="AB297" s="62" t="str">
        <f t="shared" si="266"/>
        <v>DuctlessMultiSplitHeatPump - Ductless multi-split heat pump system</v>
      </c>
      <c r="AD297" s="62"/>
    </row>
    <row r="298" spans="1:30" x14ac:dyDescent="0.25">
      <c r="C298" s="61">
        <f t="shared" ref="C298:D298" si="277">C297</f>
        <v>2019</v>
      </c>
      <c r="D298" s="6">
        <f t="shared" si="277"/>
        <v>2020</v>
      </c>
      <c r="E298" t="s">
        <v>520</v>
      </c>
      <c r="F298" s="51">
        <v>13</v>
      </c>
      <c r="G298" s="189">
        <f>F298*0.96</f>
        <v>12.48</v>
      </c>
      <c r="H298" s="190">
        <v>0.96</v>
      </c>
      <c r="I298" s="11">
        <v>11.3</v>
      </c>
      <c r="J298" s="190">
        <f>I298*0.96</f>
        <v>10.848000000000001</v>
      </c>
      <c r="K298" s="189">
        <v>0.96</v>
      </c>
      <c r="L298" s="66" t="s">
        <v>712</v>
      </c>
      <c r="M298" s="66" t="s">
        <v>188</v>
      </c>
      <c r="N298" s="66" t="s">
        <v>189</v>
      </c>
      <c r="O298" s="72">
        <f t="shared" si="264"/>
        <v>1</v>
      </c>
      <c r="P298" s="61">
        <f t="shared" ref="P298:T298" si="278">P261</f>
        <v>-1</v>
      </c>
      <c r="Q298" s="61">
        <f t="shared" si="278"/>
        <v>1</v>
      </c>
      <c r="R298" s="61">
        <f t="shared" si="278"/>
        <v>1</v>
      </c>
      <c r="S298" s="92">
        <f t="shared" si="278"/>
        <v>1</v>
      </c>
      <c r="T298" s="75" t="str">
        <f t="shared" si="278"/>
        <v xml:space="preserve">SplitHeatPump    </v>
      </c>
      <c r="U298" s="72">
        <f t="shared" si="230"/>
        <v>1</v>
      </c>
      <c r="V298" s="61">
        <f t="shared" si="241"/>
        <v>1</v>
      </c>
      <c r="W298" s="61">
        <f t="shared" si="242"/>
        <v>1</v>
      </c>
      <c r="X298" s="61">
        <f t="shared" si="236"/>
        <v>1</v>
      </c>
      <c r="Y298" s="61">
        <f t="shared" si="231"/>
        <v>0</v>
      </c>
      <c r="Z298" s="48">
        <v>1</v>
      </c>
      <c r="AA298" s="61" t="s">
        <v>0</v>
      </c>
      <c r="AB298" s="62" t="str">
        <f t="shared" si="266"/>
        <v>DuctlessVRFHeatPump - Ductless variable refrigerant flow (VRF) heat pump system</v>
      </c>
      <c r="AD298" s="62"/>
    </row>
    <row r="299" spans="1:30" x14ac:dyDescent="0.25">
      <c r="C299" s="61">
        <f t="shared" ref="C299:D299" si="279">C298</f>
        <v>2019</v>
      </c>
      <c r="D299" s="6">
        <f t="shared" si="279"/>
        <v>2020</v>
      </c>
      <c r="E299" s="176" t="s">
        <v>686</v>
      </c>
      <c r="F299" s="182">
        <v>14</v>
      </c>
      <c r="G299" s="188">
        <v>14.3</v>
      </c>
      <c r="H299" s="189">
        <v>0.95</v>
      </c>
      <c r="I299" s="183">
        <v>11.7</v>
      </c>
      <c r="J299" s="188">
        <v>11.7</v>
      </c>
      <c r="K299" s="189">
        <v>0.96</v>
      </c>
      <c r="L299" s="66" t="s">
        <v>712</v>
      </c>
      <c r="M299" s="66" t="s">
        <v>188</v>
      </c>
      <c r="N299" s="66" t="s">
        <v>189</v>
      </c>
      <c r="O299" s="70">
        <v>1</v>
      </c>
      <c r="P299" s="48">
        <v>1</v>
      </c>
      <c r="Q299" s="48">
        <v>1</v>
      </c>
      <c r="R299" s="48">
        <v>1</v>
      </c>
      <c r="S299" s="70">
        <v>1</v>
      </c>
      <c r="T299" s="97" t="s">
        <v>178</v>
      </c>
      <c r="U299" s="70">
        <f t="shared" ref="U299" si="280">IF(AND(ISNUMBER(F299), F299&gt;0), 1, 0)</f>
        <v>1</v>
      </c>
      <c r="V299" s="48">
        <f t="shared" ref="V299:V313" si="281">IF(AND(ISNUMBER(G299), G299&gt;0), 1, 0)</f>
        <v>1</v>
      </c>
      <c r="W299" s="48">
        <f t="shared" ref="W299" si="282">IF(AND(ISNUMBER(I299), I299&gt;0), 1, 0)</f>
        <v>1</v>
      </c>
      <c r="X299" s="61">
        <f t="shared" si="236"/>
        <v>1</v>
      </c>
      <c r="Y299" s="61">
        <f t="shared" si="231"/>
        <v>0</v>
      </c>
      <c r="Z299" s="48">
        <v>1</v>
      </c>
      <c r="AA299" s="61" t="s">
        <v>0</v>
      </c>
      <c r="AB299" s="54" t="s">
        <v>689</v>
      </c>
      <c r="AD299" s="62" t="s">
        <v>704</v>
      </c>
    </row>
    <row r="300" spans="1:30" x14ac:dyDescent="0.25">
      <c r="C300" s="61">
        <f t="shared" ref="C300:D300" si="283">C299</f>
        <v>2019</v>
      </c>
      <c r="D300" s="6">
        <f t="shared" si="283"/>
        <v>2020</v>
      </c>
      <c r="E300" s="176" t="s">
        <v>687</v>
      </c>
      <c r="F300" s="182">
        <v>14</v>
      </c>
      <c r="G300" s="188">
        <v>14.3</v>
      </c>
      <c r="H300" s="189">
        <v>0.95</v>
      </c>
      <c r="I300" s="183">
        <v>11.7</v>
      </c>
      <c r="J300" s="188">
        <v>11.7</v>
      </c>
      <c r="K300" s="189">
        <v>0.96</v>
      </c>
      <c r="L300" s="66" t="s">
        <v>712</v>
      </c>
      <c r="M300" s="66" t="s">
        <v>188</v>
      </c>
      <c r="N300" s="66" t="s">
        <v>189</v>
      </c>
      <c r="O300" s="70">
        <v>1</v>
      </c>
      <c r="P300" s="48">
        <v>1</v>
      </c>
      <c r="Q300" s="48">
        <v>1</v>
      </c>
      <c r="R300" s="48">
        <v>1</v>
      </c>
      <c r="S300" s="70">
        <v>1</v>
      </c>
      <c r="T300" s="97" t="s">
        <v>178</v>
      </c>
      <c r="U300" s="70">
        <f t="shared" ref="U300:U301" si="284">IF(AND(ISNUMBER(F300), F300&gt;0), 1, 0)</f>
        <v>1</v>
      </c>
      <c r="V300" s="48">
        <f t="shared" si="281"/>
        <v>1</v>
      </c>
      <c r="W300" s="48">
        <f t="shared" ref="W300:W301" si="285">IF(AND(ISNUMBER(I300), I300&gt;0), 1, 0)</f>
        <v>1</v>
      </c>
      <c r="X300" s="61">
        <f t="shared" si="236"/>
        <v>1</v>
      </c>
      <c r="Y300" s="61">
        <f t="shared" si="231"/>
        <v>0</v>
      </c>
      <c r="Z300" s="48">
        <v>1</v>
      </c>
      <c r="AA300" s="61" t="s">
        <v>0</v>
      </c>
      <c r="AB300" s="54" t="s">
        <v>690</v>
      </c>
      <c r="AD300" s="62" t="s">
        <v>704</v>
      </c>
    </row>
    <row r="301" spans="1:30" x14ac:dyDescent="0.25">
      <c r="C301" s="61">
        <f t="shared" ref="C301:D301" si="286">C300</f>
        <v>2019</v>
      </c>
      <c r="D301" s="6">
        <f t="shared" si="286"/>
        <v>2020</v>
      </c>
      <c r="E301" s="176" t="s">
        <v>688</v>
      </c>
      <c r="F301" s="182">
        <v>14</v>
      </c>
      <c r="G301" s="188">
        <v>14.3</v>
      </c>
      <c r="H301" s="189">
        <v>0.95</v>
      </c>
      <c r="I301" s="183">
        <v>11.7</v>
      </c>
      <c r="J301" s="188">
        <v>11.7</v>
      </c>
      <c r="K301" s="189">
        <v>0.96</v>
      </c>
      <c r="L301" s="66" t="s">
        <v>712</v>
      </c>
      <c r="M301" s="66" t="s">
        <v>188</v>
      </c>
      <c r="N301" s="66" t="s">
        <v>189</v>
      </c>
      <c r="O301" s="70">
        <v>1</v>
      </c>
      <c r="P301" s="48">
        <v>1</v>
      </c>
      <c r="Q301" s="48">
        <v>1</v>
      </c>
      <c r="R301" s="48">
        <v>1</v>
      </c>
      <c r="S301" s="70">
        <v>1</v>
      </c>
      <c r="T301" s="97" t="s">
        <v>178</v>
      </c>
      <c r="U301" s="70">
        <f t="shared" si="284"/>
        <v>1</v>
      </c>
      <c r="V301" s="48">
        <f t="shared" si="281"/>
        <v>1</v>
      </c>
      <c r="W301" s="48">
        <f t="shared" si="285"/>
        <v>1</v>
      </c>
      <c r="X301" s="61">
        <f t="shared" si="236"/>
        <v>1</v>
      </c>
      <c r="Y301" s="61">
        <f t="shared" si="231"/>
        <v>0</v>
      </c>
      <c r="Z301" s="48">
        <v>1</v>
      </c>
      <c r="AA301" s="61" t="s">
        <v>0</v>
      </c>
      <c r="AB301" s="54" t="s">
        <v>691</v>
      </c>
      <c r="AD301" s="62" t="s">
        <v>704</v>
      </c>
    </row>
    <row r="302" spans="1:30" x14ac:dyDescent="0.25">
      <c r="C302" s="61">
        <f t="shared" ref="C302:D302" si="287">C301</f>
        <v>2019</v>
      </c>
      <c r="D302" s="6">
        <f t="shared" si="287"/>
        <v>2020</v>
      </c>
      <c r="E302" t="s">
        <v>182</v>
      </c>
      <c r="F302" s="67" t="s">
        <v>154</v>
      </c>
      <c r="G302" s="66" t="s">
        <v>733</v>
      </c>
      <c r="H302" s="66" t="s">
        <v>733</v>
      </c>
      <c r="I302" s="66" t="s">
        <v>155</v>
      </c>
      <c r="J302" s="66" t="s">
        <v>734</v>
      </c>
      <c r="K302" s="66" t="s">
        <v>734</v>
      </c>
      <c r="L302" s="10">
        <v>8.6999999999999993</v>
      </c>
      <c r="M302" s="66" t="s">
        <v>188</v>
      </c>
      <c r="N302" s="66" t="s">
        <v>189</v>
      </c>
      <c r="O302" s="72">
        <f t="shared" ref="O302:O313" si="288">O262</f>
        <v>1</v>
      </c>
      <c r="P302" s="61">
        <f t="shared" ref="P302:T302" si="289">P262</f>
        <v>0</v>
      </c>
      <c r="Q302" s="61">
        <f t="shared" si="289"/>
        <v>1</v>
      </c>
      <c r="R302" s="61">
        <f t="shared" si="289"/>
        <v>0</v>
      </c>
      <c r="S302" s="92">
        <f t="shared" si="289"/>
        <v>1</v>
      </c>
      <c r="T302" s="75" t="str">
        <f t="shared" si="289"/>
        <v xml:space="preserve">SplitHeatPump    </v>
      </c>
      <c r="U302" s="72">
        <f t="shared" si="230"/>
        <v>0</v>
      </c>
      <c r="V302" s="61">
        <f t="shared" si="281"/>
        <v>0</v>
      </c>
      <c r="W302" s="61">
        <f t="shared" ref="W302:W304" si="290">IF(AND(ISNUMBER(I302), I302&gt;0), 1, 0)</f>
        <v>0</v>
      </c>
      <c r="X302" s="61">
        <f t="shared" si="236"/>
        <v>0</v>
      </c>
      <c r="Y302" s="61">
        <f t="shared" si="231"/>
        <v>1</v>
      </c>
      <c r="Z302" s="48">
        <v>0</v>
      </c>
      <c r="AA302" s="61" t="s">
        <v>0</v>
      </c>
      <c r="AB302" s="62" t="str">
        <f t="shared" ref="AB302:AB313" si="291">AB262</f>
        <v xml:space="preserve">RoomHeatPump - Room (non-central) heat pump system                  </v>
      </c>
    </row>
    <row r="303" spans="1:30" x14ac:dyDescent="0.25">
      <c r="C303" s="61">
        <f t="shared" ref="C303:D313" si="292">C302</f>
        <v>2019</v>
      </c>
      <c r="D303" s="6">
        <f t="shared" si="292"/>
        <v>2020</v>
      </c>
      <c r="E303" t="s">
        <v>367</v>
      </c>
      <c r="F303" s="63">
        <v>14</v>
      </c>
      <c r="G303" s="188">
        <v>14.3</v>
      </c>
      <c r="H303" s="189">
        <v>0.95</v>
      </c>
      <c r="I303" s="10">
        <v>11.7</v>
      </c>
      <c r="J303" s="188">
        <v>11.7</v>
      </c>
      <c r="K303" s="189">
        <v>0.96</v>
      </c>
      <c r="L303" s="66" t="s">
        <v>712</v>
      </c>
      <c r="M303" s="66" t="s">
        <v>188</v>
      </c>
      <c r="N303" s="66" t="s">
        <v>189</v>
      </c>
      <c r="O303" s="72">
        <f t="shared" si="288"/>
        <v>1</v>
      </c>
      <c r="P303" s="61">
        <f t="shared" ref="P303:T303" si="293">P263</f>
        <v>-1</v>
      </c>
      <c r="Q303" s="61">
        <f t="shared" si="293"/>
        <v>1</v>
      </c>
      <c r="R303" s="61">
        <f t="shared" si="293"/>
        <v>1</v>
      </c>
      <c r="S303" s="92">
        <f t="shared" si="293"/>
        <v>1</v>
      </c>
      <c r="T303" s="75" t="str">
        <f t="shared" si="293"/>
        <v xml:space="preserve">SplitHeatPump    </v>
      </c>
      <c r="U303" s="72">
        <f t="shared" si="230"/>
        <v>1</v>
      </c>
      <c r="V303" s="61">
        <f t="shared" si="281"/>
        <v>1</v>
      </c>
      <c r="W303" s="61">
        <f t="shared" si="290"/>
        <v>1</v>
      </c>
      <c r="X303" s="61">
        <f t="shared" si="236"/>
        <v>1</v>
      </c>
      <c r="Y303" s="61">
        <f t="shared" si="231"/>
        <v>0</v>
      </c>
      <c r="Z303" s="48">
        <v>1</v>
      </c>
      <c r="AA303" s="61" t="s">
        <v>0</v>
      </c>
      <c r="AB303" s="62" t="str">
        <f t="shared" si="291"/>
        <v>AirToWaterHeatPump - Air to water heat pump (able to heat DHW)</v>
      </c>
    </row>
    <row r="304" spans="1:30" x14ac:dyDescent="0.25">
      <c r="C304" s="61">
        <f t="shared" si="292"/>
        <v>2019</v>
      </c>
      <c r="D304" s="6">
        <f t="shared" si="292"/>
        <v>2020</v>
      </c>
      <c r="E304" t="s">
        <v>366</v>
      </c>
      <c r="F304" s="63">
        <v>14</v>
      </c>
      <c r="G304" s="188">
        <v>14.3</v>
      </c>
      <c r="H304" s="189">
        <v>0.95</v>
      </c>
      <c r="I304" s="10">
        <v>11.7</v>
      </c>
      <c r="J304" s="188">
        <v>11.7</v>
      </c>
      <c r="K304" s="189">
        <v>0.96</v>
      </c>
      <c r="L304" s="66" t="s">
        <v>712</v>
      </c>
      <c r="M304" s="66" t="s">
        <v>188</v>
      </c>
      <c r="N304" s="66" t="s">
        <v>189</v>
      </c>
      <c r="O304" s="72">
        <f t="shared" si="288"/>
        <v>1</v>
      </c>
      <c r="P304" s="61">
        <f t="shared" ref="P304:T307" si="294">P264</f>
        <v>-1</v>
      </c>
      <c r="Q304" s="61">
        <f t="shared" si="294"/>
        <v>1</v>
      </c>
      <c r="R304" s="61">
        <f t="shared" si="294"/>
        <v>1</v>
      </c>
      <c r="S304" s="92">
        <f t="shared" si="294"/>
        <v>1</v>
      </c>
      <c r="T304" s="75" t="str">
        <f t="shared" si="294"/>
        <v xml:space="preserve">SplitHeatPump    </v>
      </c>
      <c r="U304" s="72">
        <f t="shared" si="230"/>
        <v>1</v>
      </c>
      <c r="V304" s="61">
        <f t="shared" si="281"/>
        <v>1</v>
      </c>
      <c r="W304" s="61">
        <f t="shared" si="290"/>
        <v>1</v>
      </c>
      <c r="X304" s="61">
        <f t="shared" si="236"/>
        <v>1</v>
      </c>
      <c r="Y304" s="61">
        <f t="shared" si="231"/>
        <v>0</v>
      </c>
      <c r="Z304" s="48">
        <v>1</v>
      </c>
      <c r="AA304" s="61" t="s">
        <v>0</v>
      </c>
      <c r="AB304" s="62" t="str">
        <f t="shared" si="291"/>
        <v>GroundSourceHeatPump - Ground source heat pump (able to heat DHW)</v>
      </c>
    </row>
    <row r="305" spans="1:30" x14ac:dyDescent="0.25">
      <c r="C305" s="61">
        <f t="shared" si="292"/>
        <v>2019</v>
      </c>
      <c r="D305" s="6">
        <f t="shared" si="292"/>
        <v>2020</v>
      </c>
      <c r="E305" t="s">
        <v>549</v>
      </c>
      <c r="F305" s="51">
        <v>14</v>
      </c>
      <c r="G305" s="188">
        <v>14.3</v>
      </c>
      <c r="H305" s="189">
        <v>0.95</v>
      </c>
      <c r="I305" s="11">
        <v>11.7</v>
      </c>
      <c r="J305" s="188">
        <v>11.7</v>
      </c>
      <c r="K305" s="189">
        <v>0.96</v>
      </c>
      <c r="L305" s="66" t="s">
        <v>712</v>
      </c>
      <c r="M305" s="66" t="s">
        <v>188</v>
      </c>
      <c r="N305" s="66" t="s">
        <v>189</v>
      </c>
      <c r="O305" s="72">
        <f t="shared" si="288"/>
        <v>1</v>
      </c>
      <c r="P305" s="61">
        <f t="shared" si="294"/>
        <v>-1</v>
      </c>
      <c r="Q305" s="61">
        <f t="shared" si="294"/>
        <v>1</v>
      </c>
      <c r="R305" s="61">
        <f t="shared" si="294"/>
        <v>0</v>
      </c>
      <c r="S305" s="92">
        <f t="shared" si="294"/>
        <v>0</v>
      </c>
      <c r="T305" s="75" t="str">
        <f t="shared" si="294"/>
        <v xml:space="preserve">SplitHeatPump    </v>
      </c>
      <c r="U305" s="72">
        <f t="shared" ref="U305" si="295">IF(AND(ISNUMBER(F305), F305&gt;0), 1, 0)</f>
        <v>1</v>
      </c>
      <c r="V305" s="61">
        <f t="shared" si="281"/>
        <v>1</v>
      </c>
      <c r="W305" s="61">
        <f t="shared" ref="W305" si="296">IF(AND(ISNUMBER(I305), I305&gt;0), 1, 0)</f>
        <v>1</v>
      </c>
      <c r="X305" s="61">
        <f t="shared" si="236"/>
        <v>1</v>
      </c>
      <c r="Y305" s="61">
        <f t="shared" si="231"/>
        <v>0</v>
      </c>
      <c r="Z305" s="48">
        <v>1</v>
      </c>
      <c r="AA305" s="61" t="s">
        <v>0</v>
      </c>
      <c r="AB305" s="62" t="str">
        <f t="shared" si="291"/>
        <v>VCHP - Variable Capacity Heat Pump</v>
      </c>
    </row>
    <row r="306" spans="1:30" x14ac:dyDescent="0.25">
      <c r="C306" s="61">
        <f t="shared" ref="C306:D308" si="297">C305</f>
        <v>2019</v>
      </c>
      <c r="D306" s="6">
        <f t="shared" si="297"/>
        <v>2020</v>
      </c>
      <c r="E306" t="s">
        <v>728</v>
      </c>
      <c r="F306" s="51">
        <v>14</v>
      </c>
      <c r="G306" s="188">
        <v>14.3</v>
      </c>
      <c r="H306" s="189">
        <v>0.95</v>
      </c>
      <c r="I306" s="11">
        <v>11.7</v>
      </c>
      <c r="J306" s="188">
        <v>11.7</v>
      </c>
      <c r="K306" s="189">
        <v>0.96</v>
      </c>
      <c r="L306" s="66" t="s">
        <v>712</v>
      </c>
      <c r="M306" s="66" t="s">
        <v>188</v>
      </c>
      <c r="N306" s="66" t="s">
        <v>189</v>
      </c>
      <c r="O306" s="72">
        <f t="shared" si="288"/>
        <v>1</v>
      </c>
      <c r="P306" s="61">
        <f t="shared" si="294"/>
        <v>-1</v>
      </c>
      <c r="Q306" s="61">
        <f t="shared" si="294"/>
        <v>1</v>
      </c>
      <c r="R306" s="61">
        <f t="shared" si="294"/>
        <v>0</v>
      </c>
      <c r="S306" s="92">
        <f t="shared" si="294"/>
        <v>0</v>
      </c>
      <c r="T306" s="75" t="str">
        <f t="shared" si="294"/>
        <v xml:space="preserve">SplitHeatPump    </v>
      </c>
      <c r="U306" s="72">
        <f t="shared" ref="U306" si="298">IF(AND(ISNUMBER(F306), F306&gt;0), 1, 0)</f>
        <v>1</v>
      </c>
      <c r="V306" s="61">
        <f t="shared" si="281"/>
        <v>1</v>
      </c>
      <c r="W306" s="61">
        <f t="shared" ref="W306" si="299">IF(AND(ISNUMBER(I306), I306&gt;0), 1, 0)</f>
        <v>1</v>
      </c>
      <c r="X306" s="61">
        <f t="shared" si="236"/>
        <v>1</v>
      </c>
      <c r="Y306" s="61">
        <f t="shared" ref="Y306" si="300">IF(AND(ISNUMBER(L306), L306&gt;0), 1, 0)</f>
        <v>0</v>
      </c>
      <c r="Z306" s="48">
        <v>1</v>
      </c>
      <c r="AA306" s="61" t="s">
        <v>0</v>
      </c>
      <c r="AB306" s="62" t="str">
        <f t="shared" si="291"/>
        <v>VCHP2 - Variable Capacity Heat Pump</v>
      </c>
    </row>
    <row r="307" spans="1:30" x14ac:dyDescent="0.25">
      <c r="C307" s="61">
        <f t="shared" si="297"/>
        <v>2019</v>
      </c>
      <c r="D307" s="6">
        <f t="shared" si="297"/>
        <v>2020</v>
      </c>
      <c r="E307" t="s">
        <v>1065</v>
      </c>
      <c r="F307" s="51">
        <v>14</v>
      </c>
      <c r="G307" s="188">
        <v>14.3</v>
      </c>
      <c r="H307" s="189">
        <v>0.95</v>
      </c>
      <c r="I307" s="11">
        <v>11.7</v>
      </c>
      <c r="J307" s="188">
        <v>11.7</v>
      </c>
      <c r="K307" s="189">
        <v>0.96</v>
      </c>
      <c r="L307" s="66" t="s">
        <v>712</v>
      </c>
      <c r="M307" s="66" t="s">
        <v>188</v>
      </c>
      <c r="N307" s="66" t="s">
        <v>189</v>
      </c>
      <c r="O307" s="72">
        <f t="shared" si="288"/>
        <v>1</v>
      </c>
      <c r="P307" s="61">
        <f t="shared" si="294"/>
        <v>-1</v>
      </c>
      <c r="Q307" s="61">
        <f t="shared" si="294"/>
        <v>1</v>
      </c>
      <c r="R307" s="61">
        <f t="shared" si="294"/>
        <v>0</v>
      </c>
      <c r="S307" s="92">
        <f t="shared" si="294"/>
        <v>0</v>
      </c>
      <c r="T307" s="75" t="str">
        <f t="shared" si="294"/>
        <v xml:space="preserve">SplitHeatPump    </v>
      </c>
      <c r="U307" s="72">
        <f t="shared" ref="U307" si="301">IF(AND(ISNUMBER(F307), F307&gt;0), 1, 0)</f>
        <v>1</v>
      </c>
      <c r="V307" s="61">
        <f t="shared" ref="V307" si="302">IF(AND(ISNUMBER(G307), G307&gt;0), 1, 0)</f>
        <v>1</v>
      </c>
      <c r="W307" s="61">
        <f t="shared" ref="W307" si="303">IF(AND(ISNUMBER(I307), I307&gt;0), 1, 0)</f>
        <v>1</v>
      </c>
      <c r="X307" s="61">
        <f t="shared" ref="X307" si="304">IF(AND(ISNUMBER(J307), J307&gt;0), 1, 0)</f>
        <v>1</v>
      </c>
      <c r="Y307" s="61">
        <f t="shared" ref="Y307" si="305">IF(AND(ISNUMBER(L307), L307&gt;0), 1, 0)</f>
        <v>0</v>
      </c>
      <c r="Z307" s="48">
        <v>1</v>
      </c>
      <c r="AA307" s="61" t="s">
        <v>0</v>
      </c>
      <c r="AB307" s="62" t="str">
        <f t="shared" si="291"/>
        <v>VCHP3</v>
      </c>
    </row>
    <row r="308" spans="1:30" x14ac:dyDescent="0.25">
      <c r="C308" s="61">
        <f t="shared" si="297"/>
        <v>2019</v>
      </c>
      <c r="D308" s="6">
        <f t="shared" si="297"/>
        <v>2020</v>
      </c>
      <c r="E308" t="s">
        <v>183</v>
      </c>
      <c r="F308" s="52">
        <v>0</v>
      </c>
      <c r="G308" s="11">
        <v>0</v>
      </c>
      <c r="H308" s="11">
        <v>1</v>
      </c>
      <c r="I308" s="66" t="s">
        <v>155</v>
      </c>
      <c r="J308" s="66" t="s">
        <v>734</v>
      </c>
      <c r="K308" s="66" t="s">
        <v>734</v>
      </c>
      <c r="L308" s="66" t="s">
        <v>712</v>
      </c>
      <c r="M308" s="66" t="s">
        <v>188</v>
      </c>
      <c r="N308" s="66" t="s">
        <v>189</v>
      </c>
      <c r="O308" s="72">
        <f t="shared" si="288"/>
        <v>0</v>
      </c>
      <c r="P308" s="61">
        <f t="shared" ref="P308:T308" si="306">P268</f>
        <v>1</v>
      </c>
      <c r="Q308" s="61">
        <f t="shared" si="306"/>
        <v>0</v>
      </c>
      <c r="R308" s="61">
        <f t="shared" si="306"/>
        <v>0</v>
      </c>
      <c r="S308" s="92">
        <f t="shared" si="306"/>
        <v>0</v>
      </c>
      <c r="T308" s="75" t="str">
        <f t="shared" si="306"/>
        <v xml:space="preserve">SplitAirCond     </v>
      </c>
      <c r="U308" s="72">
        <f t="shared" si="230"/>
        <v>0</v>
      </c>
      <c r="V308" s="61">
        <f t="shared" si="281"/>
        <v>0</v>
      </c>
      <c r="W308" s="61">
        <f t="shared" ref="W308:W313" si="307">IF(AND(ISNUMBER(I308), I308&gt;0), 1, 0)</f>
        <v>0</v>
      </c>
      <c r="X308" s="61">
        <f t="shared" si="236"/>
        <v>0</v>
      </c>
      <c r="Y308" s="61">
        <f t="shared" si="231"/>
        <v>0</v>
      </c>
      <c r="Z308" s="48">
        <v>1</v>
      </c>
      <c r="AA308" s="61" t="s">
        <v>0</v>
      </c>
      <c r="AB308" s="62" t="str">
        <f t="shared" si="291"/>
        <v xml:space="preserve">EvapDirect - Direct evaporative cooling system                      </v>
      </c>
    </row>
    <row r="309" spans="1:30" x14ac:dyDescent="0.25">
      <c r="C309" s="61">
        <f t="shared" ref="C309:D309" si="308">C308</f>
        <v>2019</v>
      </c>
      <c r="D309" s="6">
        <f t="shared" si="308"/>
        <v>2020</v>
      </c>
      <c r="E309" t="s">
        <v>184</v>
      </c>
      <c r="F309" s="67" t="s">
        <v>154</v>
      </c>
      <c r="G309" s="66" t="s">
        <v>733</v>
      </c>
      <c r="H309" s="66" t="s">
        <v>733</v>
      </c>
      <c r="I309" s="48">
        <v>13</v>
      </c>
      <c r="J309" s="190">
        <f t="shared" ref="J309:J311" si="309">I309*K309</f>
        <v>12.48</v>
      </c>
      <c r="K309" s="189">
        <v>0.96</v>
      </c>
      <c r="L309" s="66" t="s">
        <v>712</v>
      </c>
      <c r="M309" s="66" t="s">
        <v>188</v>
      </c>
      <c r="N309" s="66" t="s">
        <v>189</v>
      </c>
      <c r="O309" s="72">
        <f t="shared" si="288"/>
        <v>0</v>
      </c>
      <c r="P309" s="61">
        <f t="shared" ref="P309:T309" si="310">P269</f>
        <v>1</v>
      </c>
      <c r="Q309" s="61">
        <f t="shared" si="310"/>
        <v>0</v>
      </c>
      <c r="R309" s="61">
        <f t="shared" si="310"/>
        <v>0</v>
      </c>
      <c r="S309" s="92">
        <f t="shared" si="310"/>
        <v>0</v>
      </c>
      <c r="T309" s="75" t="str">
        <f t="shared" si="310"/>
        <v xml:space="preserve">SplitAirCond     </v>
      </c>
      <c r="U309" s="72">
        <f t="shared" si="230"/>
        <v>0</v>
      </c>
      <c r="V309" s="61">
        <f t="shared" si="281"/>
        <v>0</v>
      </c>
      <c r="W309" s="61">
        <f t="shared" si="307"/>
        <v>1</v>
      </c>
      <c r="X309" s="61">
        <f t="shared" si="236"/>
        <v>1</v>
      </c>
      <c r="Y309" s="61">
        <f t="shared" si="231"/>
        <v>0</v>
      </c>
      <c r="Z309" s="48">
        <v>1</v>
      </c>
      <c r="AA309" s="61" t="s">
        <v>0</v>
      </c>
      <c r="AB309" s="62" t="str">
        <f t="shared" si="291"/>
        <v xml:space="preserve">EvapIndirDirect - Indirect-direct evaporative cooling system        </v>
      </c>
    </row>
    <row r="310" spans="1:30" x14ac:dyDescent="0.25">
      <c r="C310" s="61">
        <f t="shared" si="292"/>
        <v>2019</v>
      </c>
      <c r="D310" s="6">
        <f t="shared" si="292"/>
        <v>2020</v>
      </c>
      <c r="E310" t="s">
        <v>185</v>
      </c>
      <c r="F310" s="67" t="s">
        <v>154</v>
      </c>
      <c r="G310" s="66" t="s">
        <v>733</v>
      </c>
      <c r="H310" s="66" t="s">
        <v>733</v>
      </c>
      <c r="I310" s="48">
        <v>13</v>
      </c>
      <c r="J310" s="190">
        <f t="shared" si="309"/>
        <v>12.48</v>
      </c>
      <c r="K310" s="189">
        <v>0.96</v>
      </c>
      <c r="L310" s="66" t="s">
        <v>712</v>
      </c>
      <c r="M310" s="66" t="s">
        <v>188</v>
      </c>
      <c r="N310" s="66" t="s">
        <v>189</v>
      </c>
      <c r="O310" s="72">
        <f t="shared" si="288"/>
        <v>0</v>
      </c>
      <c r="P310" s="61">
        <f t="shared" ref="P310:T310" si="311">P270</f>
        <v>1</v>
      </c>
      <c r="Q310" s="61">
        <f t="shared" si="311"/>
        <v>0</v>
      </c>
      <c r="R310" s="61">
        <f t="shared" si="311"/>
        <v>0</v>
      </c>
      <c r="S310" s="92">
        <f t="shared" si="311"/>
        <v>0</v>
      </c>
      <c r="T310" s="75" t="str">
        <f t="shared" si="311"/>
        <v xml:space="preserve">SplitAirCond     </v>
      </c>
      <c r="U310" s="72">
        <f t="shared" si="230"/>
        <v>0</v>
      </c>
      <c r="V310" s="61">
        <f t="shared" si="281"/>
        <v>0</v>
      </c>
      <c r="W310" s="61">
        <f t="shared" si="307"/>
        <v>1</v>
      </c>
      <c r="X310" s="61">
        <f t="shared" si="236"/>
        <v>1</v>
      </c>
      <c r="Y310" s="61">
        <f t="shared" si="231"/>
        <v>0</v>
      </c>
      <c r="Z310" s="48">
        <v>1</v>
      </c>
      <c r="AA310" s="61" t="s">
        <v>0</v>
      </c>
      <c r="AB310" s="62" t="str">
        <f t="shared" si="291"/>
        <v xml:space="preserve">EvapIndirect - Indirect evaporative cooling system                  </v>
      </c>
    </row>
    <row r="311" spans="1:30" x14ac:dyDescent="0.25">
      <c r="C311" s="61">
        <f t="shared" si="292"/>
        <v>2019</v>
      </c>
      <c r="D311" s="6">
        <f t="shared" si="292"/>
        <v>2020</v>
      </c>
      <c r="E311" t="s">
        <v>379</v>
      </c>
      <c r="F311" s="51">
        <v>16</v>
      </c>
      <c r="G311" s="189">
        <f>F311*H311</f>
        <v>15.36</v>
      </c>
      <c r="H311" s="189">
        <v>0.96</v>
      </c>
      <c r="I311" s="11">
        <v>14</v>
      </c>
      <c r="J311" s="190">
        <f t="shared" si="309"/>
        <v>13.44</v>
      </c>
      <c r="K311" s="189">
        <v>0.96</v>
      </c>
      <c r="L311" s="66" t="s">
        <v>712</v>
      </c>
      <c r="M311" s="66" t="s">
        <v>188</v>
      </c>
      <c r="N311" s="66" t="s">
        <v>189</v>
      </c>
      <c r="O311" s="72">
        <f t="shared" si="288"/>
        <v>1</v>
      </c>
      <c r="P311" s="61">
        <f t="shared" ref="P311:T311" si="312">P271</f>
        <v>1</v>
      </c>
      <c r="Q311" s="61">
        <f t="shared" si="312"/>
        <v>0</v>
      </c>
      <c r="R311" s="61">
        <f t="shared" si="312"/>
        <v>1</v>
      </c>
      <c r="S311" s="92">
        <f t="shared" si="312"/>
        <v>0</v>
      </c>
      <c r="T311" s="75" t="str">
        <f t="shared" si="312"/>
        <v xml:space="preserve">SplitAirCond     </v>
      </c>
      <c r="U311" s="72">
        <f t="shared" si="230"/>
        <v>1</v>
      </c>
      <c r="V311" s="61">
        <f t="shared" si="281"/>
        <v>1</v>
      </c>
      <c r="W311" s="61">
        <f t="shared" si="307"/>
        <v>1</v>
      </c>
      <c r="X311" s="61">
        <f t="shared" si="236"/>
        <v>1</v>
      </c>
      <c r="Y311" s="61">
        <f t="shared" si="231"/>
        <v>0</v>
      </c>
      <c r="Z311" s="48">
        <v>1</v>
      </c>
      <c r="AA311" s="61" t="s">
        <v>0</v>
      </c>
      <c r="AB311" s="62" t="str">
        <f t="shared" si="291"/>
        <v>EvapCondenser - Evaporatively-cooled condenser for split AC systems</v>
      </c>
      <c r="AD311" s="125"/>
    </row>
    <row r="312" spans="1:30" x14ac:dyDescent="0.25">
      <c r="A312" t="s">
        <v>0</v>
      </c>
      <c r="C312" s="61">
        <f t="shared" si="292"/>
        <v>2019</v>
      </c>
      <c r="D312" s="6">
        <f t="shared" si="292"/>
        <v>2020</v>
      </c>
      <c r="E312" s="24" t="s">
        <v>186</v>
      </c>
      <c r="F312" s="67" t="s">
        <v>154</v>
      </c>
      <c r="G312" s="66" t="s">
        <v>733</v>
      </c>
      <c r="H312" s="66" t="s">
        <v>733</v>
      </c>
      <c r="I312" s="11">
        <v>0</v>
      </c>
      <c r="J312" s="11">
        <v>0</v>
      </c>
      <c r="K312" s="11">
        <v>1</v>
      </c>
      <c r="L312" s="66" t="s">
        <v>712</v>
      </c>
      <c r="M312" s="66" t="s">
        <v>188</v>
      </c>
      <c r="N312" s="66" t="s">
        <v>189</v>
      </c>
      <c r="O312" s="72">
        <f t="shared" si="288"/>
        <v>0</v>
      </c>
      <c r="P312" s="61">
        <f t="shared" ref="P312:T312" si="313">P272</f>
        <v>1</v>
      </c>
      <c r="Q312" s="61">
        <f t="shared" si="313"/>
        <v>0</v>
      </c>
      <c r="R312" s="61">
        <f t="shared" si="313"/>
        <v>1</v>
      </c>
      <c r="S312" s="92">
        <f t="shared" si="313"/>
        <v>0</v>
      </c>
      <c r="T312" s="75" t="str">
        <f t="shared" si="313"/>
        <v>N/A</v>
      </c>
      <c r="U312" s="72">
        <f t="shared" si="230"/>
        <v>0</v>
      </c>
      <c r="V312" s="61">
        <f t="shared" si="281"/>
        <v>0</v>
      </c>
      <c r="W312" s="61">
        <f t="shared" si="307"/>
        <v>0</v>
      </c>
      <c r="X312" s="61">
        <f t="shared" si="236"/>
        <v>0</v>
      </c>
      <c r="Y312" s="61">
        <f t="shared" si="231"/>
        <v>0</v>
      </c>
      <c r="Z312" s="48">
        <v>1</v>
      </c>
      <c r="AA312" s="61" t="s">
        <v>0</v>
      </c>
      <c r="AB312" s="62" t="str">
        <f t="shared" si="291"/>
        <v xml:space="preserve">Evap/CC - Evaporatively-cooled condensers                           </v>
      </c>
    </row>
    <row r="313" spans="1:30" x14ac:dyDescent="0.25">
      <c r="A313" t="s">
        <v>0</v>
      </c>
      <c r="C313" s="61">
        <f t="shared" si="292"/>
        <v>2019</v>
      </c>
      <c r="D313" s="6">
        <f t="shared" si="292"/>
        <v>2020</v>
      </c>
      <c r="E313" s="24" t="s">
        <v>187</v>
      </c>
      <c r="F313" s="52">
        <v>0</v>
      </c>
      <c r="G313" s="11">
        <v>0</v>
      </c>
      <c r="H313" s="11">
        <v>1</v>
      </c>
      <c r="I313" s="11">
        <v>0</v>
      </c>
      <c r="J313" s="11">
        <v>0</v>
      </c>
      <c r="K313" s="11">
        <v>1</v>
      </c>
      <c r="L313" s="66" t="s">
        <v>712</v>
      </c>
      <c r="M313" s="66" t="s">
        <v>188</v>
      </c>
      <c r="N313" s="66" t="s">
        <v>189</v>
      </c>
      <c r="O313" s="72">
        <f t="shared" si="288"/>
        <v>0</v>
      </c>
      <c r="P313" s="61">
        <f t="shared" ref="P313:T313" si="314">P273</f>
        <v>1</v>
      </c>
      <c r="Q313" s="61">
        <f t="shared" si="314"/>
        <v>0</v>
      </c>
      <c r="R313" s="61">
        <f t="shared" si="314"/>
        <v>1</v>
      </c>
      <c r="S313" s="92">
        <f t="shared" si="314"/>
        <v>0</v>
      </c>
      <c r="T313" s="75" t="str">
        <f t="shared" si="314"/>
        <v>N/A</v>
      </c>
      <c r="U313" s="72">
        <f t="shared" si="230"/>
        <v>0</v>
      </c>
      <c r="V313" s="61">
        <f t="shared" si="281"/>
        <v>0</v>
      </c>
      <c r="W313" s="61">
        <f t="shared" si="307"/>
        <v>0</v>
      </c>
      <c r="X313" s="61">
        <f t="shared" si="236"/>
        <v>0</v>
      </c>
      <c r="Y313" s="61">
        <f t="shared" si="231"/>
        <v>0</v>
      </c>
      <c r="Z313" s="48">
        <v>1</v>
      </c>
      <c r="AA313" s="61" t="s">
        <v>0</v>
      </c>
      <c r="AB313" s="62" t="str">
        <f t="shared" si="291"/>
        <v xml:space="preserve">IceSAC - Ice storage air conditioning system                        </v>
      </c>
    </row>
    <row r="314" spans="1:30" x14ac:dyDescent="0.25">
      <c r="A314" t="s">
        <v>636</v>
      </c>
      <c r="D314" s="126"/>
      <c r="E314" s="126"/>
      <c r="F314" s="126"/>
      <c r="G314" s="126"/>
      <c r="H314" s="126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  <c r="AA314" s="127"/>
      <c r="AB314" s="127"/>
    </row>
    <row r="315" spans="1:30" x14ac:dyDescent="0.25">
      <c r="C315" s="1">
        <v>2022</v>
      </c>
      <c r="D315" s="60">
        <v>2023</v>
      </c>
      <c r="E315" t="s">
        <v>1098</v>
      </c>
      <c r="F315" s="67" t="s">
        <v>154</v>
      </c>
      <c r="G315" s="66" t="s">
        <v>733</v>
      </c>
      <c r="H315" s="66" t="s">
        <v>733</v>
      </c>
      <c r="I315" s="66" t="s">
        <v>155</v>
      </c>
      <c r="J315" s="66" t="s">
        <v>734</v>
      </c>
      <c r="K315" s="66" t="s">
        <v>734</v>
      </c>
      <c r="L315" s="66" t="s">
        <v>712</v>
      </c>
      <c r="M315" s="66" t="s">
        <v>188</v>
      </c>
      <c r="N315" s="66" t="s">
        <v>189</v>
      </c>
      <c r="O315" s="72">
        <f t="shared" ref="O315:T315" si="315">O275</f>
        <v>1</v>
      </c>
      <c r="P315" s="61">
        <f t="shared" si="315"/>
        <v>-1</v>
      </c>
      <c r="Q315" s="61">
        <f t="shared" si="315"/>
        <v>0</v>
      </c>
      <c r="R315" s="61">
        <f t="shared" si="315"/>
        <v>0</v>
      </c>
      <c r="S315" s="92">
        <f t="shared" si="315"/>
        <v>0</v>
      </c>
      <c r="T315" s="75" t="str">
        <f t="shared" si="315"/>
        <v xml:space="preserve">SplitAirCond     </v>
      </c>
      <c r="U315" s="72">
        <f t="shared" ref="U315:U355" si="316">IF(AND(ISNUMBER(F315), F315&gt;0), 1, 0)</f>
        <v>0</v>
      </c>
      <c r="V315" s="61">
        <f t="shared" ref="V315:V355" si="317">IF(AND(ISNUMBER(G315), G315&gt;0), 1, 0)</f>
        <v>0</v>
      </c>
      <c r="W315" s="61">
        <f t="shared" ref="W315:X317" si="318">IF(AND(ISNUMBER(I315), I315&gt;0), 1, 0)</f>
        <v>0</v>
      </c>
      <c r="X315" s="61">
        <f t="shared" si="318"/>
        <v>0</v>
      </c>
      <c r="Y315" s="61">
        <f t="shared" ref="Y315:Y355" si="319">IF(AND(ISNUMBER(L315), L315&gt;0), 1, 0)</f>
        <v>0</v>
      </c>
      <c r="Z315" s="48">
        <v>0</v>
      </c>
      <c r="AA315" s="61" t="s">
        <v>0</v>
      </c>
      <c r="AB315" s="62" t="str">
        <f t="shared" ref="AB315" si="320">AB275</f>
        <v xml:space="preserve">NoCooling - No cooling equipment                                    </v>
      </c>
    </row>
    <row r="316" spans="1:30" x14ac:dyDescent="0.25">
      <c r="C316" s="61">
        <f t="shared" ref="C316:D316" si="321">C315</f>
        <v>2022</v>
      </c>
      <c r="D316" s="6">
        <f t="shared" si="321"/>
        <v>2023</v>
      </c>
      <c r="E316" s="219" t="s">
        <v>1096</v>
      </c>
      <c r="F316" s="187">
        <v>15</v>
      </c>
      <c r="G316" s="188">
        <v>14.3</v>
      </c>
      <c r="H316" s="188">
        <v>0.95</v>
      </c>
      <c r="I316" s="188">
        <v>12.2</v>
      </c>
      <c r="J316" s="188">
        <v>11.7</v>
      </c>
      <c r="K316" s="188">
        <v>0.96</v>
      </c>
      <c r="L316" s="66" t="s">
        <v>712</v>
      </c>
      <c r="M316" s="66" t="s">
        <v>188</v>
      </c>
      <c r="N316" s="66" t="s">
        <v>189</v>
      </c>
      <c r="O316" s="215">
        <v>1</v>
      </c>
      <c r="P316" s="216">
        <v>1</v>
      </c>
      <c r="Q316" s="216">
        <v>0</v>
      </c>
      <c r="R316" s="216">
        <v>1</v>
      </c>
      <c r="S316" s="215">
        <v>0</v>
      </c>
      <c r="T316" s="217" t="s">
        <v>174</v>
      </c>
      <c r="U316" s="72">
        <f t="shared" ref="U316" si="322">IF(AND(ISNUMBER(F316), F316&gt;0), 1, 0)</f>
        <v>1</v>
      </c>
      <c r="V316" s="61">
        <f t="shared" ref="V316" si="323">IF(AND(ISNUMBER(G316), G316&gt;0), 1, 0)</f>
        <v>1</v>
      </c>
      <c r="W316" s="61">
        <f t="shared" si="318"/>
        <v>1</v>
      </c>
      <c r="X316" s="61">
        <f t="shared" si="318"/>
        <v>1</v>
      </c>
      <c r="Y316" s="61">
        <f t="shared" ref="Y316" si="324">IF(AND(ISNUMBER(L316), L316&gt;0), 1, 0)</f>
        <v>0</v>
      </c>
      <c r="Z316" s="48">
        <v>1</v>
      </c>
      <c r="AA316" s="61" t="s">
        <v>0</v>
      </c>
      <c r="AB316" s="218" t="s">
        <v>1099</v>
      </c>
      <c r="AD316" s="218" t="s">
        <v>1100</v>
      </c>
    </row>
    <row r="317" spans="1:30" x14ac:dyDescent="0.25">
      <c r="C317" s="61">
        <f t="shared" ref="C317:D317" si="325">C316</f>
        <v>2022</v>
      </c>
      <c r="D317" s="6">
        <f t="shared" si="325"/>
        <v>2023</v>
      </c>
      <c r="E317" t="s">
        <v>1097</v>
      </c>
      <c r="F317" s="187">
        <v>15</v>
      </c>
      <c r="G317" s="188">
        <v>14.3</v>
      </c>
      <c r="H317" s="188">
        <v>0.95</v>
      </c>
      <c r="I317" s="188">
        <v>12.2</v>
      </c>
      <c r="J317" s="188">
        <v>11.7</v>
      </c>
      <c r="K317" s="188">
        <v>0.96</v>
      </c>
      <c r="L317" s="66" t="s">
        <v>712</v>
      </c>
      <c r="M317" s="66" t="s">
        <v>188</v>
      </c>
      <c r="N317" s="66" t="s">
        <v>189</v>
      </c>
      <c r="O317" s="72">
        <f t="shared" ref="O317:T325" si="326">O276</f>
        <v>1</v>
      </c>
      <c r="P317" s="61">
        <f t="shared" si="326"/>
        <v>1</v>
      </c>
      <c r="Q317" s="61">
        <f t="shared" si="326"/>
        <v>0</v>
      </c>
      <c r="R317" s="61">
        <f t="shared" si="326"/>
        <v>1</v>
      </c>
      <c r="S317" s="92">
        <f t="shared" si="326"/>
        <v>0</v>
      </c>
      <c r="T317" s="75" t="str">
        <f t="shared" si="326"/>
        <v xml:space="preserve">SplitAirCond     </v>
      </c>
      <c r="U317" s="72">
        <f t="shared" si="316"/>
        <v>1</v>
      </c>
      <c r="V317" s="61">
        <f t="shared" si="317"/>
        <v>1</v>
      </c>
      <c r="W317" s="61">
        <f t="shared" si="318"/>
        <v>1</v>
      </c>
      <c r="X317" s="61">
        <f t="shared" si="318"/>
        <v>1</v>
      </c>
      <c r="Y317" s="61">
        <f t="shared" si="319"/>
        <v>0</v>
      </c>
      <c r="Z317" s="48">
        <v>1</v>
      </c>
      <c r="AA317" s="61" t="s">
        <v>0</v>
      </c>
      <c r="AB317" s="62" t="str">
        <f t="shared" ref="AB317:AB344" si="327">AB276</f>
        <v xml:space="preserve">SplitAirCond - Split air conditioning system                        </v>
      </c>
    </row>
    <row r="318" spans="1:30" x14ac:dyDescent="0.25">
      <c r="C318" s="61">
        <f t="shared" ref="C318:D318" si="328">C317</f>
        <v>2022</v>
      </c>
      <c r="D318" s="6">
        <f t="shared" si="328"/>
        <v>2023</v>
      </c>
      <c r="E318" s="176" t="s">
        <v>697</v>
      </c>
      <c r="F318" s="67" t="s">
        <v>154</v>
      </c>
      <c r="G318" s="66" t="s">
        <v>733</v>
      </c>
      <c r="H318" s="66" t="s">
        <v>733</v>
      </c>
      <c r="I318" s="53">
        <v>9.5</v>
      </c>
      <c r="J318" s="190">
        <f>I318*0.96</f>
        <v>9.1199999999999992</v>
      </c>
      <c r="K318" s="188">
        <v>0.96</v>
      </c>
      <c r="L318" s="66" t="s">
        <v>712</v>
      </c>
      <c r="M318" s="66" t="s">
        <v>188</v>
      </c>
      <c r="N318" s="66" t="s">
        <v>189</v>
      </c>
      <c r="O318" s="72">
        <f t="shared" si="326"/>
        <v>1</v>
      </c>
      <c r="P318" s="61">
        <f t="shared" si="326"/>
        <v>0</v>
      </c>
      <c r="Q318" s="61">
        <f t="shared" si="326"/>
        <v>0</v>
      </c>
      <c r="R318" s="61">
        <f t="shared" si="326"/>
        <v>0</v>
      </c>
      <c r="S318" s="92">
        <f t="shared" si="326"/>
        <v>0</v>
      </c>
      <c r="T318" s="75" t="str">
        <f t="shared" si="326"/>
        <v xml:space="preserve">SplitAirCond     </v>
      </c>
      <c r="U318" s="72">
        <f t="shared" ref="U318:U319" si="329">IF(AND(ISNUMBER(F318), F318&gt;0), 1, 0)</f>
        <v>0</v>
      </c>
      <c r="V318" s="61">
        <f t="shared" si="317"/>
        <v>0</v>
      </c>
      <c r="W318" s="61">
        <f t="shared" ref="W318:W319" si="330">IF(AND(ISNUMBER(I318), I318&gt;0), 1, 0)</f>
        <v>1</v>
      </c>
      <c r="X318" s="61">
        <f t="shared" ref="X318:X355" si="331">IF(AND(ISNUMBER(J318), J318&gt;0), 1, 0)</f>
        <v>1</v>
      </c>
      <c r="Y318" s="61">
        <f t="shared" si="319"/>
        <v>0</v>
      </c>
      <c r="Z318" s="48">
        <v>1</v>
      </c>
      <c r="AA318" s="61" t="s">
        <v>0</v>
      </c>
      <c r="AB318" s="62" t="str">
        <f t="shared" si="327"/>
        <v>PkgTermAirCond - Packaged terminal air conditioner (PTAC)</v>
      </c>
    </row>
    <row r="319" spans="1:30" x14ac:dyDescent="0.25">
      <c r="C319" s="61">
        <f t="shared" ref="C319:D319" si="332">C318</f>
        <v>2022</v>
      </c>
      <c r="D319" s="6">
        <f t="shared" si="332"/>
        <v>2023</v>
      </c>
      <c r="E319" s="176" t="s">
        <v>698</v>
      </c>
      <c r="F319" s="67" t="s">
        <v>154</v>
      </c>
      <c r="G319" s="66" t="s">
        <v>733</v>
      </c>
      <c r="H319" s="66" t="s">
        <v>733</v>
      </c>
      <c r="I319" s="188">
        <v>11</v>
      </c>
      <c r="J319" s="188">
        <v>10.6</v>
      </c>
      <c r="K319" s="188">
        <v>0.96</v>
      </c>
      <c r="L319" s="66" t="s">
        <v>712</v>
      </c>
      <c r="M319" s="66" t="s">
        <v>188</v>
      </c>
      <c r="N319" s="66" t="s">
        <v>189</v>
      </c>
      <c r="O319" s="72">
        <f t="shared" si="326"/>
        <v>1</v>
      </c>
      <c r="P319" s="61">
        <f t="shared" si="326"/>
        <v>1</v>
      </c>
      <c r="Q319" s="61">
        <f t="shared" si="326"/>
        <v>0</v>
      </c>
      <c r="R319" s="61">
        <f t="shared" si="326"/>
        <v>0</v>
      </c>
      <c r="S319" s="92">
        <f t="shared" si="326"/>
        <v>0</v>
      </c>
      <c r="T319" s="75" t="str">
        <f t="shared" si="326"/>
        <v xml:space="preserve">SplitAirCond     </v>
      </c>
      <c r="U319" s="72">
        <f t="shared" si="329"/>
        <v>0</v>
      </c>
      <c r="V319" s="61">
        <f t="shared" si="317"/>
        <v>0</v>
      </c>
      <c r="W319" s="61">
        <f t="shared" si="330"/>
        <v>1</v>
      </c>
      <c r="X319" s="61">
        <f t="shared" si="331"/>
        <v>1</v>
      </c>
      <c r="Y319" s="61">
        <f t="shared" si="319"/>
        <v>0</v>
      </c>
      <c r="Z319" s="48">
        <v>1</v>
      </c>
      <c r="AA319" s="61" t="s">
        <v>0</v>
      </c>
      <c r="AB319" s="62" t="str">
        <f t="shared" si="327"/>
        <v>SglPkgVertAirCond - Single package vertical A/C system</v>
      </c>
    </row>
    <row r="320" spans="1:30" x14ac:dyDescent="0.25">
      <c r="C320" s="61">
        <f t="shared" ref="C320:D320" si="333">C319</f>
        <v>2022</v>
      </c>
      <c r="D320" s="6">
        <f t="shared" si="333"/>
        <v>2023</v>
      </c>
      <c r="E320" t="s">
        <v>175</v>
      </c>
      <c r="F320" s="187">
        <v>14</v>
      </c>
      <c r="G320" s="188">
        <v>13.4</v>
      </c>
      <c r="H320" s="188">
        <v>0.96</v>
      </c>
      <c r="I320" s="188">
        <v>11</v>
      </c>
      <c r="J320" s="188">
        <v>10.6</v>
      </c>
      <c r="K320" s="188">
        <v>0.96</v>
      </c>
      <c r="L320" s="66" t="s">
        <v>712</v>
      </c>
      <c r="M320" s="66" t="s">
        <v>188</v>
      </c>
      <c r="N320" s="66" t="s">
        <v>189</v>
      </c>
      <c r="O320" s="72">
        <f t="shared" si="326"/>
        <v>1</v>
      </c>
      <c r="P320" s="61">
        <f t="shared" si="326"/>
        <v>1</v>
      </c>
      <c r="Q320" s="61">
        <f t="shared" si="326"/>
        <v>0</v>
      </c>
      <c r="R320" s="61">
        <f t="shared" si="326"/>
        <v>1</v>
      </c>
      <c r="S320" s="92">
        <f t="shared" si="326"/>
        <v>0</v>
      </c>
      <c r="T320" s="75" t="str">
        <f t="shared" si="326"/>
        <v xml:space="preserve">SplitAirCond     </v>
      </c>
      <c r="U320" s="72">
        <f t="shared" si="316"/>
        <v>1</v>
      </c>
      <c r="V320" s="61">
        <f t="shared" si="317"/>
        <v>1</v>
      </c>
      <c r="W320" s="61">
        <f t="shared" ref="W320:W325" si="334">IF(AND(ISNUMBER(I320), I320&gt;0), 1, 0)</f>
        <v>1</v>
      </c>
      <c r="X320" s="61">
        <f t="shared" si="331"/>
        <v>1</v>
      </c>
      <c r="Y320" s="61">
        <f t="shared" si="319"/>
        <v>0</v>
      </c>
      <c r="Z320" s="48">
        <v>1</v>
      </c>
      <c r="AA320" s="61" t="s">
        <v>0</v>
      </c>
      <c r="AB320" s="62" t="str">
        <f t="shared" si="327"/>
        <v xml:space="preserve">PkgAirCond - Central packaged A/C system (&lt; 65 kBtuh)               </v>
      </c>
    </row>
    <row r="321" spans="1:28" x14ac:dyDescent="0.25">
      <c r="C321" s="61">
        <f t="shared" ref="C321:D321" si="335">C320</f>
        <v>2022</v>
      </c>
      <c r="D321" s="6">
        <f t="shared" si="335"/>
        <v>2023</v>
      </c>
      <c r="E321" t="s">
        <v>176</v>
      </c>
      <c r="F321" s="51">
        <v>13</v>
      </c>
      <c r="G321" s="190">
        <f>F321*0.96</f>
        <v>12.48</v>
      </c>
      <c r="H321" s="193">
        <v>0.96</v>
      </c>
      <c r="I321" s="11">
        <v>0</v>
      </c>
      <c r="J321" s="11">
        <v>0</v>
      </c>
      <c r="K321" s="11">
        <v>1</v>
      </c>
      <c r="L321" s="66" t="s">
        <v>712</v>
      </c>
      <c r="M321" s="66" t="s">
        <v>188</v>
      </c>
      <c r="N321" s="66" t="s">
        <v>189</v>
      </c>
      <c r="O321" s="72">
        <f t="shared" si="326"/>
        <v>0</v>
      </c>
      <c r="P321" s="61">
        <f t="shared" si="326"/>
        <v>1</v>
      </c>
      <c r="Q321" s="61">
        <f t="shared" si="326"/>
        <v>0</v>
      </c>
      <c r="R321" s="61">
        <f t="shared" si="326"/>
        <v>1</v>
      </c>
      <c r="S321" s="92">
        <f t="shared" si="326"/>
        <v>0</v>
      </c>
      <c r="T321" s="75" t="str">
        <f t="shared" si="326"/>
        <v xml:space="preserve">SplitAirCond     </v>
      </c>
      <c r="U321" s="72">
        <f t="shared" si="316"/>
        <v>1</v>
      </c>
      <c r="V321" s="61">
        <f t="shared" si="317"/>
        <v>1</v>
      </c>
      <c r="W321" s="61">
        <f t="shared" si="334"/>
        <v>0</v>
      </c>
      <c r="X321" s="61">
        <f t="shared" si="331"/>
        <v>0</v>
      </c>
      <c r="Y321" s="61">
        <f t="shared" si="319"/>
        <v>0</v>
      </c>
      <c r="Z321" s="48">
        <v>1</v>
      </c>
      <c r="AA321" s="61" t="s">
        <v>0</v>
      </c>
      <c r="AB321" s="62" t="str">
        <f t="shared" si="327"/>
        <v xml:space="preserve">LrgPkgAirCond - Large packaged A/C system (&gt;= 65 kBtuh)             </v>
      </c>
    </row>
    <row r="322" spans="1:28" x14ac:dyDescent="0.25">
      <c r="C322" s="61">
        <f t="shared" ref="C322:D322" si="336">C321</f>
        <v>2022</v>
      </c>
      <c r="D322" s="6">
        <f t="shared" si="336"/>
        <v>2023</v>
      </c>
      <c r="E322" t="s">
        <v>515</v>
      </c>
      <c r="F322" s="51">
        <v>12</v>
      </c>
      <c r="G322" s="191">
        <v>12</v>
      </c>
      <c r="H322" s="191">
        <v>1</v>
      </c>
      <c r="I322" s="149">
        <v>10</v>
      </c>
      <c r="J322" s="190">
        <f>I322*0.96</f>
        <v>9.6</v>
      </c>
      <c r="K322" s="188">
        <v>0.96</v>
      </c>
      <c r="L322" s="66" t="s">
        <v>712</v>
      </c>
      <c r="M322" s="66" t="s">
        <v>188</v>
      </c>
      <c r="N322" s="66" t="s">
        <v>189</v>
      </c>
      <c r="O322" s="72">
        <f t="shared" si="326"/>
        <v>1</v>
      </c>
      <c r="P322" s="61">
        <f t="shared" si="326"/>
        <v>1</v>
      </c>
      <c r="Q322" s="61">
        <f t="shared" si="326"/>
        <v>0</v>
      </c>
      <c r="R322" s="61">
        <f t="shared" si="326"/>
        <v>1</v>
      </c>
      <c r="S322" s="92">
        <f t="shared" si="326"/>
        <v>0</v>
      </c>
      <c r="T322" s="75" t="str">
        <f t="shared" si="326"/>
        <v xml:space="preserve">SplitAirCond     </v>
      </c>
      <c r="U322" s="72">
        <f t="shared" si="316"/>
        <v>1</v>
      </c>
      <c r="V322" s="61">
        <f t="shared" si="317"/>
        <v>1</v>
      </c>
      <c r="W322" s="61">
        <f t="shared" si="334"/>
        <v>1</v>
      </c>
      <c r="X322" s="61">
        <f t="shared" si="331"/>
        <v>1</v>
      </c>
      <c r="Y322" s="61">
        <f t="shared" si="319"/>
        <v>0</v>
      </c>
      <c r="Z322" s="48">
        <v>1</v>
      </c>
      <c r="AA322" s="61" t="s">
        <v>0</v>
      </c>
      <c r="AB322" s="62" t="str">
        <f t="shared" si="327"/>
        <v xml:space="preserve">SDHVSplitAirCond - Small duct, high velocity, split A/C system                        </v>
      </c>
    </row>
    <row r="323" spans="1:28" x14ac:dyDescent="0.25">
      <c r="C323" s="61">
        <f t="shared" ref="C323:D323" si="337">C322</f>
        <v>2022</v>
      </c>
      <c r="D323" s="6">
        <f t="shared" si="337"/>
        <v>2023</v>
      </c>
      <c r="E323" t="s">
        <v>526</v>
      </c>
      <c r="F323" s="187">
        <v>15</v>
      </c>
      <c r="G323" s="188">
        <v>14.3</v>
      </c>
      <c r="H323" s="188">
        <v>0.95</v>
      </c>
      <c r="I323" s="188">
        <v>12.2</v>
      </c>
      <c r="J323" s="188">
        <v>11.7</v>
      </c>
      <c r="K323" s="188">
        <v>0.96</v>
      </c>
      <c r="L323" s="66" t="s">
        <v>712</v>
      </c>
      <c r="M323" s="66" t="s">
        <v>188</v>
      </c>
      <c r="N323" s="66" t="s">
        <v>189</v>
      </c>
      <c r="O323" s="72">
        <f t="shared" si="326"/>
        <v>1</v>
      </c>
      <c r="P323" s="61">
        <f t="shared" si="326"/>
        <v>0</v>
      </c>
      <c r="Q323" s="61">
        <f t="shared" si="326"/>
        <v>0</v>
      </c>
      <c r="R323" s="61">
        <f t="shared" si="326"/>
        <v>1</v>
      </c>
      <c r="S323" s="92">
        <f t="shared" si="326"/>
        <v>1</v>
      </c>
      <c r="T323" s="75" t="str">
        <f t="shared" si="326"/>
        <v xml:space="preserve">SplitAirCond     </v>
      </c>
      <c r="U323" s="72">
        <f t="shared" si="316"/>
        <v>1</v>
      </c>
      <c r="V323" s="61">
        <f t="shared" si="317"/>
        <v>1</v>
      </c>
      <c r="W323" s="61">
        <f t="shared" si="334"/>
        <v>1</v>
      </c>
      <c r="X323" s="61">
        <f t="shared" si="331"/>
        <v>1</v>
      </c>
      <c r="Y323" s="61">
        <f t="shared" si="319"/>
        <v>0</v>
      </c>
      <c r="Z323" s="48">
        <v>1</v>
      </c>
      <c r="AA323" s="61" t="s">
        <v>0</v>
      </c>
      <c r="AB323" s="62" t="str">
        <f t="shared" si="327"/>
        <v>DuctlessMiniSplitAirCond – Ductless mini-split A/C system</v>
      </c>
    </row>
    <row r="324" spans="1:28" x14ac:dyDescent="0.25">
      <c r="C324" s="61">
        <f t="shared" ref="C324:D324" si="338">C323</f>
        <v>2022</v>
      </c>
      <c r="D324" s="6">
        <f t="shared" si="338"/>
        <v>2023</v>
      </c>
      <c r="E324" t="s">
        <v>527</v>
      </c>
      <c r="F324" s="187">
        <v>15</v>
      </c>
      <c r="G324" s="188">
        <v>14.3</v>
      </c>
      <c r="H324" s="188">
        <v>0.95</v>
      </c>
      <c r="I324" s="188">
        <v>12.2</v>
      </c>
      <c r="J324" s="188">
        <v>11.7</v>
      </c>
      <c r="K324" s="188">
        <v>0.96</v>
      </c>
      <c r="L324" s="66" t="s">
        <v>712</v>
      </c>
      <c r="M324" s="66" t="s">
        <v>188</v>
      </c>
      <c r="N324" s="66" t="s">
        <v>189</v>
      </c>
      <c r="O324" s="72">
        <f t="shared" si="326"/>
        <v>1</v>
      </c>
      <c r="P324" s="61">
        <f t="shared" si="326"/>
        <v>0</v>
      </c>
      <c r="Q324" s="61">
        <f t="shared" si="326"/>
        <v>0</v>
      </c>
      <c r="R324" s="61">
        <f t="shared" si="326"/>
        <v>1</v>
      </c>
      <c r="S324" s="92">
        <f t="shared" si="326"/>
        <v>1</v>
      </c>
      <c r="T324" s="75" t="str">
        <f t="shared" si="326"/>
        <v xml:space="preserve">SplitAirCond     </v>
      </c>
      <c r="U324" s="72">
        <f t="shared" si="316"/>
        <v>1</v>
      </c>
      <c r="V324" s="61">
        <f t="shared" si="317"/>
        <v>1</v>
      </c>
      <c r="W324" s="61">
        <f t="shared" si="334"/>
        <v>1</v>
      </c>
      <c r="X324" s="61">
        <f t="shared" si="331"/>
        <v>1</v>
      </c>
      <c r="Y324" s="61">
        <f t="shared" si="319"/>
        <v>0</v>
      </c>
      <c r="Z324" s="48">
        <v>1</v>
      </c>
      <c r="AA324" s="61" t="s">
        <v>0</v>
      </c>
      <c r="AB324" s="62" t="str">
        <f t="shared" si="327"/>
        <v>DuctlessMultiSplitAirCond - Ductless multi-split A/C system</v>
      </c>
    </row>
    <row r="325" spans="1:28" x14ac:dyDescent="0.25">
      <c r="C325" s="61">
        <f t="shared" ref="C325:D325" si="339">C324</f>
        <v>2022</v>
      </c>
      <c r="D325" s="6">
        <f t="shared" si="339"/>
        <v>2023</v>
      </c>
      <c r="E325" t="s">
        <v>523</v>
      </c>
      <c r="F325" s="51">
        <v>13</v>
      </c>
      <c r="G325" s="189">
        <f>F325*0.96</f>
        <v>12.48</v>
      </c>
      <c r="H325" s="193">
        <v>0.96</v>
      </c>
      <c r="I325" s="11">
        <v>11.3</v>
      </c>
      <c r="J325" s="190">
        <f>I325*0.96</f>
        <v>10.848000000000001</v>
      </c>
      <c r="K325" s="188">
        <v>0.96</v>
      </c>
      <c r="L325" s="66" t="s">
        <v>712</v>
      </c>
      <c r="M325" s="66" t="s">
        <v>188</v>
      </c>
      <c r="N325" s="66" t="s">
        <v>189</v>
      </c>
      <c r="O325" s="72">
        <f t="shared" si="326"/>
        <v>1</v>
      </c>
      <c r="P325" s="61">
        <f t="shared" si="326"/>
        <v>0</v>
      </c>
      <c r="Q325" s="61">
        <f t="shared" si="326"/>
        <v>0</v>
      </c>
      <c r="R325" s="61">
        <f t="shared" si="326"/>
        <v>1</v>
      </c>
      <c r="S325" s="92">
        <f t="shared" si="326"/>
        <v>1</v>
      </c>
      <c r="T325" s="75" t="str">
        <f t="shared" si="326"/>
        <v xml:space="preserve">SplitAirCond     </v>
      </c>
      <c r="U325" s="72">
        <f t="shared" si="316"/>
        <v>1</v>
      </c>
      <c r="V325" s="61">
        <f t="shared" si="317"/>
        <v>1</v>
      </c>
      <c r="W325" s="61">
        <f t="shared" si="334"/>
        <v>1</v>
      </c>
      <c r="X325" s="61">
        <f t="shared" si="331"/>
        <v>1</v>
      </c>
      <c r="Y325" s="61">
        <f t="shared" si="319"/>
        <v>0</v>
      </c>
      <c r="Z325" s="48">
        <v>1</v>
      </c>
      <c r="AA325" s="61" t="s">
        <v>0</v>
      </c>
      <c r="AB325" s="62" t="str">
        <f t="shared" si="327"/>
        <v>DuctlessVRFAirCond - Ductless variable refrigerant flow (VRF) A/C system</v>
      </c>
    </row>
    <row r="326" spans="1:28" x14ac:dyDescent="0.25">
      <c r="C326" s="61">
        <f t="shared" ref="C326:D326" si="340">C325</f>
        <v>2022</v>
      </c>
      <c r="D326" s="6">
        <f t="shared" si="340"/>
        <v>2023</v>
      </c>
      <c r="E326" s="176" t="s">
        <v>699</v>
      </c>
      <c r="F326" s="187">
        <v>15</v>
      </c>
      <c r="G326" s="188">
        <v>14.3</v>
      </c>
      <c r="H326" s="188">
        <v>0.95</v>
      </c>
      <c r="I326" s="188">
        <v>12.2</v>
      </c>
      <c r="J326" s="188">
        <v>11.7</v>
      </c>
      <c r="K326" s="188">
        <v>0.96</v>
      </c>
      <c r="L326" s="66" t="s">
        <v>712</v>
      </c>
      <c r="M326" s="66" t="s">
        <v>188</v>
      </c>
      <c r="N326" s="66" t="s">
        <v>189</v>
      </c>
      <c r="O326" s="72">
        <f t="shared" ref="O326:T326" si="341">O285</f>
        <v>1</v>
      </c>
      <c r="P326" s="61">
        <f t="shared" si="341"/>
        <v>1</v>
      </c>
      <c r="Q326" s="61">
        <f t="shared" si="341"/>
        <v>0</v>
      </c>
      <c r="R326" s="61">
        <f t="shared" si="341"/>
        <v>1</v>
      </c>
      <c r="S326" s="92">
        <f t="shared" si="341"/>
        <v>1</v>
      </c>
      <c r="T326" s="75" t="str">
        <f t="shared" si="341"/>
        <v xml:space="preserve">SplitAirCond     </v>
      </c>
      <c r="U326" s="72">
        <f t="shared" ref="U326:U328" si="342">IF(AND(ISNUMBER(F326), F326&gt;0), 1, 0)</f>
        <v>1</v>
      </c>
      <c r="V326" s="61">
        <f t="shared" si="317"/>
        <v>1</v>
      </c>
      <c r="W326" s="61">
        <f t="shared" ref="W326:W328" si="343">IF(AND(ISNUMBER(I326), I326&gt;0), 1, 0)</f>
        <v>1</v>
      </c>
      <c r="X326" s="61">
        <f t="shared" si="331"/>
        <v>1</v>
      </c>
      <c r="Y326" s="61">
        <f t="shared" si="319"/>
        <v>0</v>
      </c>
      <c r="Z326" s="48">
        <v>1</v>
      </c>
      <c r="AA326" s="61" t="s">
        <v>0</v>
      </c>
      <c r="AB326" s="62" t="str">
        <f t="shared" si="327"/>
        <v>DuctedMiniSplitAirCond - Ducted mini-split A/C system</v>
      </c>
    </row>
    <row r="327" spans="1:28" x14ac:dyDescent="0.25">
      <c r="C327" s="61">
        <f t="shared" ref="C327:D327" si="344">C326</f>
        <v>2022</v>
      </c>
      <c r="D327" s="6">
        <f t="shared" si="344"/>
        <v>2023</v>
      </c>
      <c r="E327" s="176" t="s">
        <v>700</v>
      </c>
      <c r="F327" s="187">
        <v>15</v>
      </c>
      <c r="G327" s="188">
        <v>14.3</v>
      </c>
      <c r="H327" s="188">
        <v>0.95</v>
      </c>
      <c r="I327" s="188">
        <v>12.2</v>
      </c>
      <c r="J327" s="188">
        <v>11.7</v>
      </c>
      <c r="K327" s="188">
        <v>0.96</v>
      </c>
      <c r="L327" s="66" t="s">
        <v>712</v>
      </c>
      <c r="M327" s="66" t="s">
        <v>188</v>
      </c>
      <c r="N327" s="66" t="s">
        <v>189</v>
      </c>
      <c r="O327" s="72">
        <f t="shared" ref="O327:T327" si="345">O286</f>
        <v>1</v>
      </c>
      <c r="P327" s="61">
        <f t="shared" si="345"/>
        <v>1</v>
      </c>
      <c r="Q327" s="61">
        <f t="shared" si="345"/>
        <v>0</v>
      </c>
      <c r="R327" s="61">
        <f t="shared" si="345"/>
        <v>1</v>
      </c>
      <c r="S327" s="92">
        <f t="shared" si="345"/>
        <v>1</v>
      </c>
      <c r="T327" s="75" t="str">
        <f t="shared" si="345"/>
        <v xml:space="preserve">SplitAirCond     </v>
      </c>
      <c r="U327" s="72">
        <f t="shared" si="342"/>
        <v>1</v>
      </c>
      <c r="V327" s="61">
        <f t="shared" si="317"/>
        <v>1</v>
      </c>
      <c r="W327" s="61">
        <f t="shared" si="343"/>
        <v>1</v>
      </c>
      <c r="X327" s="61">
        <f t="shared" si="331"/>
        <v>1</v>
      </c>
      <c r="Y327" s="61">
        <f t="shared" si="319"/>
        <v>0</v>
      </c>
      <c r="Z327" s="48">
        <v>1</v>
      </c>
      <c r="AA327" s="61" t="s">
        <v>0</v>
      </c>
      <c r="AB327" s="62" t="str">
        <f t="shared" si="327"/>
        <v>DuctedMultiSplitAirCond - Ducted multi-split A/C system</v>
      </c>
    </row>
    <row r="328" spans="1:28" x14ac:dyDescent="0.25">
      <c r="C328" s="61">
        <f t="shared" ref="C328:D328" si="346">C327</f>
        <v>2022</v>
      </c>
      <c r="D328" s="6">
        <f t="shared" si="346"/>
        <v>2023</v>
      </c>
      <c r="E328" s="176" t="s">
        <v>701</v>
      </c>
      <c r="F328" s="187">
        <v>15</v>
      </c>
      <c r="G328" s="188">
        <v>14.3</v>
      </c>
      <c r="H328" s="188">
        <v>0.95</v>
      </c>
      <c r="I328" s="188">
        <v>12.2</v>
      </c>
      <c r="J328" s="188">
        <v>11.7</v>
      </c>
      <c r="K328" s="188">
        <v>0.96</v>
      </c>
      <c r="L328" s="66" t="s">
        <v>712</v>
      </c>
      <c r="M328" s="66" t="s">
        <v>188</v>
      </c>
      <c r="N328" s="66" t="s">
        <v>189</v>
      </c>
      <c r="O328" s="72">
        <f t="shared" ref="O328:T328" si="347">O287</f>
        <v>1</v>
      </c>
      <c r="P328" s="61">
        <f t="shared" si="347"/>
        <v>1</v>
      </c>
      <c r="Q328" s="61">
        <f t="shared" si="347"/>
        <v>0</v>
      </c>
      <c r="R328" s="61">
        <f t="shared" si="347"/>
        <v>1</v>
      </c>
      <c r="S328" s="92">
        <f t="shared" si="347"/>
        <v>1</v>
      </c>
      <c r="T328" s="75" t="str">
        <f t="shared" si="347"/>
        <v xml:space="preserve">SplitAirCond     </v>
      </c>
      <c r="U328" s="72">
        <f t="shared" si="342"/>
        <v>1</v>
      </c>
      <c r="V328" s="61">
        <f t="shared" si="317"/>
        <v>1</v>
      </c>
      <c r="W328" s="61">
        <f t="shared" si="343"/>
        <v>1</v>
      </c>
      <c r="X328" s="61">
        <f t="shared" si="331"/>
        <v>1</v>
      </c>
      <c r="Y328" s="61">
        <f t="shared" si="319"/>
        <v>0</v>
      </c>
      <c r="Z328" s="48">
        <v>1</v>
      </c>
      <c r="AA328" s="61" t="s">
        <v>0</v>
      </c>
      <c r="AB328" s="62" t="str">
        <f t="shared" si="327"/>
        <v>Ducted+DuctlessMultiSplitAirCond - Ducted+ductless multi-split A/C system</v>
      </c>
    </row>
    <row r="329" spans="1:28" x14ac:dyDescent="0.25">
      <c r="C329" s="61">
        <f t="shared" ref="C329:D329" si="348">C328</f>
        <v>2022</v>
      </c>
      <c r="D329" s="6">
        <f t="shared" si="348"/>
        <v>2023</v>
      </c>
      <c r="E329" t="s">
        <v>177</v>
      </c>
      <c r="F329" s="67" t="s">
        <v>154</v>
      </c>
      <c r="G329" s="66" t="s">
        <v>733</v>
      </c>
      <c r="H329" s="66" t="s">
        <v>733</v>
      </c>
      <c r="I329" s="66" t="s">
        <v>155</v>
      </c>
      <c r="J329" s="66" t="s">
        <v>734</v>
      </c>
      <c r="K329" s="66" t="s">
        <v>734</v>
      </c>
      <c r="L329" s="10">
        <v>9</v>
      </c>
      <c r="M329" s="66" t="s">
        <v>188</v>
      </c>
      <c r="N329" s="66" t="s">
        <v>189</v>
      </c>
      <c r="O329" s="72">
        <f t="shared" ref="O329:T330" si="349">O288</f>
        <v>1</v>
      </c>
      <c r="P329" s="61">
        <f t="shared" si="349"/>
        <v>0</v>
      </c>
      <c r="Q329" s="61">
        <f t="shared" si="349"/>
        <v>0</v>
      </c>
      <c r="R329" s="61">
        <f t="shared" si="349"/>
        <v>0</v>
      </c>
      <c r="S329" s="92">
        <f t="shared" si="349"/>
        <v>1</v>
      </c>
      <c r="T329" s="75" t="str">
        <f t="shared" si="349"/>
        <v xml:space="preserve">SplitAirCond     </v>
      </c>
      <c r="U329" s="72">
        <f t="shared" si="316"/>
        <v>0</v>
      </c>
      <c r="V329" s="61">
        <f t="shared" si="317"/>
        <v>0</v>
      </c>
      <c r="W329" s="61">
        <f>IF(AND(ISNUMBER(I329), I329&gt;0), 1, 0)</f>
        <v>0</v>
      </c>
      <c r="X329" s="61">
        <f t="shared" si="331"/>
        <v>0</v>
      </c>
      <c r="Y329" s="61">
        <f t="shared" si="319"/>
        <v>1</v>
      </c>
      <c r="Z329" s="48">
        <v>0</v>
      </c>
      <c r="AA329" s="61" t="s">
        <v>0</v>
      </c>
      <c r="AB329" s="62" t="str">
        <f t="shared" si="327"/>
        <v xml:space="preserve">RoomAirCond - Non-central room A/C system                           </v>
      </c>
    </row>
    <row r="330" spans="1:28" x14ac:dyDescent="0.25">
      <c r="C330" s="61">
        <f t="shared" ref="C330:D330" si="350">C329</f>
        <v>2022</v>
      </c>
      <c r="D330" s="6">
        <f t="shared" si="350"/>
        <v>2023</v>
      </c>
      <c r="E330" t="s">
        <v>178</v>
      </c>
      <c r="F330" s="187">
        <v>15</v>
      </c>
      <c r="G330" s="188">
        <v>14.3</v>
      </c>
      <c r="H330" s="188">
        <v>0.95</v>
      </c>
      <c r="I330" s="188">
        <v>12.2</v>
      </c>
      <c r="J330" s="188">
        <v>11.7</v>
      </c>
      <c r="K330" s="188">
        <v>0.96</v>
      </c>
      <c r="L330" s="66" t="s">
        <v>712</v>
      </c>
      <c r="M330" s="66" t="s">
        <v>188</v>
      </c>
      <c r="N330" s="66" t="s">
        <v>189</v>
      </c>
      <c r="O330" s="72">
        <f t="shared" si="349"/>
        <v>1</v>
      </c>
      <c r="P330" s="61">
        <f t="shared" si="349"/>
        <v>1</v>
      </c>
      <c r="Q330" s="61">
        <f t="shared" si="349"/>
        <v>1</v>
      </c>
      <c r="R330" s="61">
        <f t="shared" si="349"/>
        <v>1</v>
      </c>
      <c r="S330" s="92">
        <f t="shared" si="349"/>
        <v>0</v>
      </c>
      <c r="T330" s="75" t="str">
        <f t="shared" si="349"/>
        <v xml:space="preserve">SplitHeatPump    </v>
      </c>
      <c r="U330" s="72">
        <f t="shared" si="316"/>
        <v>1</v>
      </c>
      <c r="V330" s="61">
        <f t="shared" si="317"/>
        <v>1</v>
      </c>
      <c r="W330" s="61">
        <f>IF(AND(ISNUMBER(I330), I330&gt;0), 1, 0)</f>
        <v>1</v>
      </c>
      <c r="X330" s="61">
        <f t="shared" si="331"/>
        <v>1</v>
      </c>
      <c r="Y330" s="61">
        <f t="shared" si="319"/>
        <v>0</v>
      </c>
      <c r="Z330" s="48">
        <v>1</v>
      </c>
      <c r="AA330" s="61" t="s">
        <v>0</v>
      </c>
      <c r="AB330" s="62" t="str">
        <f t="shared" si="327"/>
        <v xml:space="preserve">SplitHeatPump - Split heat pump system                              </v>
      </c>
    </row>
    <row r="331" spans="1:28" x14ac:dyDescent="0.25">
      <c r="C331" s="61">
        <f t="shared" ref="C331:D331" si="351">C330</f>
        <v>2022</v>
      </c>
      <c r="D331" s="6">
        <f t="shared" si="351"/>
        <v>2023</v>
      </c>
      <c r="E331" s="176" t="s">
        <v>682</v>
      </c>
      <c r="F331" s="67" t="s">
        <v>154</v>
      </c>
      <c r="G331" s="66" t="s">
        <v>733</v>
      </c>
      <c r="H331" s="66" t="s">
        <v>733</v>
      </c>
      <c r="I331" s="53">
        <v>9.5</v>
      </c>
      <c r="J331" s="190">
        <f>I331*0.96</f>
        <v>9.1199999999999992</v>
      </c>
      <c r="K331" s="188">
        <v>0.96</v>
      </c>
      <c r="L331" s="66" t="s">
        <v>712</v>
      </c>
      <c r="M331" s="66" t="s">
        <v>188</v>
      </c>
      <c r="N331" s="66" t="s">
        <v>189</v>
      </c>
      <c r="O331" s="72">
        <f t="shared" ref="O331:T331" si="352">O290</f>
        <v>1</v>
      </c>
      <c r="P331" s="61">
        <f t="shared" si="352"/>
        <v>0</v>
      </c>
      <c r="Q331" s="61">
        <f t="shared" si="352"/>
        <v>1</v>
      </c>
      <c r="R331" s="61">
        <f t="shared" si="352"/>
        <v>0</v>
      </c>
      <c r="S331" s="92">
        <f t="shared" si="352"/>
        <v>0</v>
      </c>
      <c r="T331" s="75" t="str">
        <f t="shared" si="352"/>
        <v xml:space="preserve">SplitHeatPump    </v>
      </c>
      <c r="U331" s="72">
        <f t="shared" ref="U331:U332" si="353">IF(AND(ISNUMBER(F331), F331&gt;0), 1, 0)</f>
        <v>0</v>
      </c>
      <c r="V331" s="61">
        <f t="shared" si="317"/>
        <v>0</v>
      </c>
      <c r="W331" s="61">
        <f t="shared" ref="W331:W332" si="354">IF(AND(ISNUMBER(I331), I331&gt;0), 1, 0)</f>
        <v>1</v>
      </c>
      <c r="X331" s="61">
        <f t="shared" si="331"/>
        <v>1</v>
      </c>
      <c r="Y331" s="61">
        <f t="shared" si="319"/>
        <v>0</v>
      </c>
      <c r="Z331" s="48">
        <v>1</v>
      </c>
      <c r="AA331" s="61" t="s">
        <v>0</v>
      </c>
      <c r="AB331" s="62" t="str">
        <f t="shared" si="327"/>
        <v>PkgTermHeatPump - Packaged terminal heat pump (PTHP)</v>
      </c>
    </row>
    <row r="332" spans="1:28" x14ac:dyDescent="0.25">
      <c r="C332" s="61">
        <f t="shared" ref="C332:D332" si="355">C331</f>
        <v>2022</v>
      </c>
      <c r="D332" s="6">
        <f t="shared" si="355"/>
        <v>2023</v>
      </c>
      <c r="E332" s="176" t="s">
        <v>683</v>
      </c>
      <c r="F332" s="67" t="s">
        <v>154</v>
      </c>
      <c r="G332" s="66" t="s">
        <v>733</v>
      </c>
      <c r="H332" s="66" t="s">
        <v>733</v>
      </c>
      <c r="I332" s="53">
        <v>11</v>
      </c>
      <c r="J332" s="190">
        <f>I332*0.96</f>
        <v>10.559999999999999</v>
      </c>
      <c r="K332" s="188">
        <v>0.96</v>
      </c>
      <c r="L332" s="66" t="s">
        <v>712</v>
      </c>
      <c r="M332" s="66" t="s">
        <v>188</v>
      </c>
      <c r="N332" s="66" t="s">
        <v>189</v>
      </c>
      <c r="O332" s="72">
        <f t="shared" ref="O332:T332" si="356">O291</f>
        <v>1</v>
      </c>
      <c r="P332" s="61">
        <f t="shared" si="356"/>
        <v>1</v>
      </c>
      <c r="Q332" s="61">
        <f t="shared" si="356"/>
        <v>1</v>
      </c>
      <c r="R332" s="61">
        <f t="shared" si="356"/>
        <v>0</v>
      </c>
      <c r="S332" s="92">
        <f t="shared" si="356"/>
        <v>0</v>
      </c>
      <c r="T332" s="75" t="str">
        <f t="shared" si="356"/>
        <v xml:space="preserve">SplitHeatPump    </v>
      </c>
      <c r="U332" s="72">
        <f t="shared" si="353"/>
        <v>0</v>
      </c>
      <c r="V332" s="61">
        <f t="shared" si="317"/>
        <v>0</v>
      </c>
      <c r="W332" s="61">
        <f t="shared" si="354"/>
        <v>1</v>
      </c>
      <c r="X332" s="61">
        <f t="shared" si="331"/>
        <v>1</v>
      </c>
      <c r="Y332" s="61">
        <f t="shared" si="319"/>
        <v>0</v>
      </c>
      <c r="Z332" s="48">
        <v>1</v>
      </c>
      <c r="AA332" s="61" t="s">
        <v>0</v>
      </c>
      <c r="AB332" s="62" t="str">
        <f t="shared" si="327"/>
        <v>SglPkgVertHeatPump - Single package vertical heat pump</v>
      </c>
    </row>
    <row r="333" spans="1:28" x14ac:dyDescent="0.25">
      <c r="C333" s="61">
        <f t="shared" ref="C333:D333" si="357">C332</f>
        <v>2022</v>
      </c>
      <c r="D333" s="6">
        <f t="shared" si="357"/>
        <v>2023</v>
      </c>
      <c r="E333" t="s">
        <v>179</v>
      </c>
      <c r="F333" s="187">
        <v>15</v>
      </c>
      <c r="G333" s="188">
        <v>14.3</v>
      </c>
      <c r="H333" s="188">
        <v>0.95</v>
      </c>
      <c r="I333" s="188">
        <v>12.2</v>
      </c>
      <c r="J333" s="188">
        <v>11.7</v>
      </c>
      <c r="K333" s="188">
        <v>0.96</v>
      </c>
      <c r="L333" s="66" t="s">
        <v>712</v>
      </c>
      <c r="M333" s="66" t="s">
        <v>188</v>
      </c>
      <c r="N333" s="66" t="s">
        <v>189</v>
      </c>
      <c r="O333" s="72">
        <f t="shared" ref="O333:T343" si="358">O292</f>
        <v>1</v>
      </c>
      <c r="P333" s="61">
        <f t="shared" si="358"/>
        <v>1</v>
      </c>
      <c r="Q333" s="61">
        <f t="shared" si="358"/>
        <v>1</v>
      </c>
      <c r="R333" s="61">
        <f t="shared" si="358"/>
        <v>1</v>
      </c>
      <c r="S333" s="92">
        <f t="shared" si="358"/>
        <v>0</v>
      </c>
      <c r="T333" s="75" t="str">
        <f t="shared" si="358"/>
        <v xml:space="preserve">SplitHeatPump    </v>
      </c>
      <c r="U333" s="72">
        <f t="shared" si="316"/>
        <v>1</v>
      </c>
      <c r="V333" s="61">
        <f t="shared" si="317"/>
        <v>1</v>
      </c>
      <c r="W333" s="61">
        <f t="shared" ref="W333:W339" si="359">IF(AND(ISNUMBER(I333), I333&gt;0), 1, 0)</f>
        <v>1</v>
      </c>
      <c r="X333" s="61">
        <f t="shared" si="331"/>
        <v>1</v>
      </c>
      <c r="Y333" s="61">
        <f t="shared" si="319"/>
        <v>0</v>
      </c>
      <c r="Z333" s="48">
        <v>1</v>
      </c>
      <c r="AA333" s="61" t="s">
        <v>0</v>
      </c>
      <c r="AB333" s="62" t="str">
        <f t="shared" si="327"/>
        <v xml:space="preserve">PkgHeatPump - Central single-packaged heat pump system (&lt; 65 kBtuh) </v>
      </c>
    </row>
    <row r="334" spans="1:28" x14ac:dyDescent="0.25">
      <c r="C334" s="61">
        <f t="shared" ref="C334:D334" si="360">C333</f>
        <v>2022</v>
      </c>
      <c r="D334" s="6">
        <f t="shared" si="360"/>
        <v>2023</v>
      </c>
      <c r="E334" t="s">
        <v>180</v>
      </c>
      <c r="F334" s="67" t="s">
        <v>154</v>
      </c>
      <c r="G334" s="66" t="s">
        <v>733</v>
      </c>
      <c r="H334" s="66" t="s">
        <v>733</v>
      </c>
      <c r="I334" s="11">
        <v>0</v>
      </c>
      <c r="J334" s="11">
        <v>0</v>
      </c>
      <c r="K334" s="11">
        <v>1</v>
      </c>
      <c r="L334" s="66" t="s">
        <v>712</v>
      </c>
      <c r="M334" s="66" t="s">
        <v>188</v>
      </c>
      <c r="N334" s="66" t="s">
        <v>189</v>
      </c>
      <c r="O334" s="72">
        <f t="shared" si="358"/>
        <v>0</v>
      </c>
      <c r="P334" s="61">
        <f t="shared" si="358"/>
        <v>1</v>
      </c>
      <c r="Q334" s="61">
        <f t="shared" si="358"/>
        <v>1</v>
      </c>
      <c r="R334" s="61">
        <f t="shared" si="358"/>
        <v>1</v>
      </c>
      <c r="S334" s="92">
        <f t="shared" si="358"/>
        <v>0</v>
      </c>
      <c r="T334" s="75" t="str">
        <f t="shared" si="358"/>
        <v xml:space="preserve">SplitHeatPump    </v>
      </c>
      <c r="U334" s="72">
        <f t="shared" si="316"/>
        <v>0</v>
      </c>
      <c r="V334" s="61">
        <f t="shared" si="317"/>
        <v>0</v>
      </c>
      <c r="W334" s="61">
        <f t="shared" si="359"/>
        <v>0</v>
      </c>
      <c r="X334" s="61">
        <f t="shared" si="331"/>
        <v>0</v>
      </c>
      <c r="Y334" s="61">
        <f t="shared" si="319"/>
        <v>0</v>
      </c>
      <c r="Z334" s="48">
        <v>1</v>
      </c>
      <c r="AA334" s="61" t="s">
        <v>0</v>
      </c>
      <c r="AB334" s="62" t="str">
        <f t="shared" si="327"/>
        <v xml:space="preserve">LrgPkgHeatPump - Large packaged heat pump system (&gt;= 65 kBtuh)      </v>
      </c>
    </row>
    <row r="335" spans="1:28" x14ac:dyDescent="0.25">
      <c r="A335" t="s">
        <v>0</v>
      </c>
      <c r="C335" s="61">
        <f t="shared" ref="C335:D335" si="361">C334</f>
        <v>2022</v>
      </c>
      <c r="D335" s="6">
        <f t="shared" si="361"/>
        <v>2023</v>
      </c>
      <c r="E335" s="24" t="s">
        <v>181</v>
      </c>
      <c r="F335" s="67" t="s">
        <v>154</v>
      </c>
      <c r="G335" s="66" t="s">
        <v>733</v>
      </c>
      <c r="H335" s="66" t="s">
        <v>733</v>
      </c>
      <c r="I335" s="66" t="s">
        <v>155</v>
      </c>
      <c r="J335" s="66" t="s">
        <v>734</v>
      </c>
      <c r="K335" s="66" t="s">
        <v>734</v>
      </c>
      <c r="L335" s="66" t="s">
        <v>712</v>
      </c>
      <c r="M335" s="11">
        <v>0</v>
      </c>
      <c r="N335" s="11">
        <v>0</v>
      </c>
      <c r="O335" s="72">
        <f t="shared" si="358"/>
        <v>0</v>
      </c>
      <c r="P335" s="61">
        <f t="shared" si="358"/>
        <v>1</v>
      </c>
      <c r="Q335" s="61">
        <f t="shared" si="358"/>
        <v>0</v>
      </c>
      <c r="R335" s="61">
        <f t="shared" si="358"/>
        <v>1</v>
      </c>
      <c r="S335" s="92">
        <f t="shared" si="358"/>
        <v>0</v>
      </c>
      <c r="T335" s="75" t="str">
        <f t="shared" si="358"/>
        <v>N/A</v>
      </c>
      <c r="U335" s="72">
        <f t="shared" si="316"/>
        <v>0</v>
      </c>
      <c r="V335" s="61">
        <f t="shared" si="317"/>
        <v>0</v>
      </c>
      <c r="W335" s="61">
        <f t="shared" si="359"/>
        <v>0</v>
      </c>
      <c r="X335" s="61">
        <f t="shared" si="331"/>
        <v>0</v>
      </c>
      <c r="Y335" s="61">
        <f t="shared" si="319"/>
        <v>0</v>
      </c>
      <c r="Z335" s="48">
        <v>1</v>
      </c>
      <c r="AA335" s="61" t="s">
        <v>0</v>
      </c>
      <c r="AB335" s="62" t="str">
        <f t="shared" si="327"/>
        <v xml:space="preserve">GasCooling - Gas absorption cooling                                 </v>
      </c>
    </row>
    <row r="336" spans="1:28" x14ac:dyDescent="0.25">
      <c r="C336" s="61">
        <f t="shared" ref="C336:D336" si="362">C335</f>
        <v>2022</v>
      </c>
      <c r="D336" s="6">
        <f t="shared" si="362"/>
        <v>2023</v>
      </c>
      <c r="E336" t="s">
        <v>511</v>
      </c>
      <c r="F336" s="51">
        <v>12</v>
      </c>
      <c r="G336" s="191">
        <v>12</v>
      </c>
      <c r="H336" s="191">
        <v>1</v>
      </c>
      <c r="I336" s="149">
        <v>10</v>
      </c>
      <c r="J336" s="190">
        <f>I336*0.96</f>
        <v>9.6</v>
      </c>
      <c r="K336" s="188">
        <v>0.96</v>
      </c>
      <c r="L336" s="66" t="s">
        <v>712</v>
      </c>
      <c r="M336" s="66" t="s">
        <v>188</v>
      </c>
      <c r="N336" s="66" t="s">
        <v>189</v>
      </c>
      <c r="O336" s="72">
        <f t="shared" si="358"/>
        <v>1</v>
      </c>
      <c r="P336" s="61">
        <f t="shared" si="358"/>
        <v>1</v>
      </c>
      <c r="Q336" s="61">
        <f t="shared" si="358"/>
        <v>1</v>
      </c>
      <c r="R336" s="61">
        <f t="shared" si="358"/>
        <v>1</v>
      </c>
      <c r="S336" s="92">
        <f t="shared" si="358"/>
        <v>0</v>
      </c>
      <c r="T336" s="75" t="str">
        <f t="shared" si="358"/>
        <v xml:space="preserve">SplitHeatPump    </v>
      </c>
      <c r="U336" s="72">
        <f t="shared" si="316"/>
        <v>1</v>
      </c>
      <c r="V336" s="61">
        <f t="shared" si="317"/>
        <v>1</v>
      </c>
      <c r="W336" s="61">
        <f t="shared" si="359"/>
        <v>1</v>
      </c>
      <c r="X336" s="61">
        <f t="shared" si="331"/>
        <v>1</v>
      </c>
      <c r="Y336" s="61">
        <f t="shared" si="319"/>
        <v>0</v>
      </c>
      <c r="Z336" s="48">
        <v>1</v>
      </c>
      <c r="AA336" s="61" t="s">
        <v>0</v>
      </c>
      <c r="AB336" s="62" t="str">
        <f t="shared" si="327"/>
        <v xml:space="preserve">SDHVSplitHeatPump - Small duct, high velocity, central split heat pump                              </v>
      </c>
    </row>
    <row r="337" spans="3:30" x14ac:dyDescent="0.25">
      <c r="C337" s="61">
        <f t="shared" ref="C337:D337" si="363">C336</f>
        <v>2022</v>
      </c>
      <c r="D337" s="6">
        <f t="shared" si="363"/>
        <v>2023</v>
      </c>
      <c r="E337" t="s">
        <v>530</v>
      </c>
      <c r="F337" s="187">
        <v>15</v>
      </c>
      <c r="G337" s="188">
        <v>14.3</v>
      </c>
      <c r="H337" s="188">
        <v>0.95</v>
      </c>
      <c r="I337" s="188">
        <v>12.2</v>
      </c>
      <c r="J337" s="188">
        <v>11.7</v>
      </c>
      <c r="K337" s="188">
        <v>0.96</v>
      </c>
      <c r="L337" s="66" t="s">
        <v>712</v>
      </c>
      <c r="M337" s="66" t="s">
        <v>188</v>
      </c>
      <c r="N337" s="66" t="s">
        <v>189</v>
      </c>
      <c r="O337" s="72">
        <f t="shared" si="358"/>
        <v>1</v>
      </c>
      <c r="P337" s="61">
        <f t="shared" si="358"/>
        <v>0</v>
      </c>
      <c r="Q337" s="61">
        <f t="shared" si="358"/>
        <v>1</v>
      </c>
      <c r="R337" s="61">
        <f t="shared" si="358"/>
        <v>1</v>
      </c>
      <c r="S337" s="92">
        <f t="shared" si="358"/>
        <v>1</v>
      </c>
      <c r="T337" s="75" t="str">
        <f t="shared" si="358"/>
        <v xml:space="preserve">SplitHeatPump    </v>
      </c>
      <c r="U337" s="72">
        <f t="shared" si="316"/>
        <v>1</v>
      </c>
      <c r="V337" s="61">
        <f t="shared" si="317"/>
        <v>1</v>
      </c>
      <c r="W337" s="61">
        <f t="shared" si="359"/>
        <v>1</v>
      </c>
      <c r="X337" s="61">
        <f t="shared" si="331"/>
        <v>1</v>
      </c>
      <c r="Y337" s="61">
        <f t="shared" si="319"/>
        <v>0</v>
      </c>
      <c r="Z337" s="48">
        <v>1</v>
      </c>
      <c r="AA337" s="61" t="s">
        <v>0</v>
      </c>
      <c r="AB337" s="62" t="str">
        <f t="shared" si="327"/>
        <v>DuctlessMiniSplitHeatPump – Ductless mini-split heat pump system</v>
      </c>
    </row>
    <row r="338" spans="3:30" x14ac:dyDescent="0.25">
      <c r="C338" s="61">
        <f t="shared" ref="C338:D338" si="364">C337</f>
        <v>2022</v>
      </c>
      <c r="D338" s="6">
        <f t="shared" si="364"/>
        <v>2023</v>
      </c>
      <c r="E338" t="s">
        <v>531</v>
      </c>
      <c r="F338" s="187">
        <v>15</v>
      </c>
      <c r="G338" s="188">
        <v>14.3</v>
      </c>
      <c r="H338" s="188">
        <v>0.95</v>
      </c>
      <c r="I338" s="188">
        <v>12.2</v>
      </c>
      <c r="J338" s="188">
        <v>11.7</v>
      </c>
      <c r="K338" s="188">
        <v>0.96</v>
      </c>
      <c r="L338" s="66" t="s">
        <v>712</v>
      </c>
      <c r="M338" s="66" t="s">
        <v>188</v>
      </c>
      <c r="N338" s="66" t="s">
        <v>189</v>
      </c>
      <c r="O338" s="72">
        <f t="shared" si="358"/>
        <v>1</v>
      </c>
      <c r="P338" s="61">
        <f t="shared" si="358"/>
        <v>0</v>
      </c>
      <c r="Q338" s="61">
        <f t="shared" si="358"/>
        <v>1</v>
      </c>
      <c r="R338" s="61">
        <f t="shared" si="358"/>
        <v>1</v>
      </c>
      <c r="S338" s="92">
        <f t="shared" si="358"/>
        <v>1</v>
      </c>
      <c r="T338" s="75" t="str">
        <f t="shared" si="358"/>
        <v xml:space="preserve">SplitHeatPump    </v>
      </c>
      <c r="U338" s="72">
        <f t="shared" si="316"/>
        <v>1</v>
      </c>
      <c r="V338" s="61">
        <f t="shared" si="317"/>
        <v>1</v>
      </c>
      <c r="W338" s="61">
        <f t="shared" si="359"/>
        <v>1</v>
      </c>
      <c r="X338" s="61">
        <f t="shared" si="331"/>
        <v>1</v>
      </c>
      <c r="Y338" s="61">
        <f t="shared" si="319"/>
        <v>0</v>
      </c>
      <c r="Z338" s="48">
        <v>1</v>
      </c>
      <c r="AA338" s="61" t="s">
        <v>0</v>
      </c>
      <c r="AB338" s="62" t="str">
        <f t="shared" si="327"/>
        <v>DuctlessMultiSplitHeatPump - Ductless multi-split heat pump system</v>
      </c>
    </row>
    <row r="339" spans="3:30" x14ac:dyDescent="0.25">
      <c r="C339" s="61">
        <f t="shared" ref="C339:D339" si="365">C338</f>
        <v>2022</v>
      </c>
      <c r="D339" s="6">
        <f t="shared" si="365"/>
        <v>2023</v>
      </c>
      <c r="E339" t="s">
        <v>520</v>
      </c>
      <c r="F339" s="51">
        <v>13</v>
      </c>
      <c r="G339" s="189">
        <f>F339*0.96</f>
        <v>12.48</v>
      </c>
      <c r="H339" s="193">
        <v>0.96</v>
      </c>
      <c r="I339" s="11">
        <v>11.3</v>
      </c>
      <c r="J339" s="190">
        <f>I339*0.96</f>
        <v>10.848000000000001</v>
      </c>
      <c r="K339" s="188">
        <v>0.96</v>
      </c>
      <c r="L339" s="66" t="s">
        <v>712</v>
      </c>
      <c r="M339" s="66" t="s">
        <v>188</v>
      </c>
      <c r="N339" s="66" t="s">
        <v>189</v>
      </c>
      <c r="O339" s="72">
        <f t="shared" si="358"/>
        <v>1</v>
      </c>
      <c r="P339" s="61">
        <f t="shared" si="358"/>
        <v>-1</v>
      </c>
      <c r="Q339" s="61">
        <f t="shared" si="358"/>
        <v>1</v>
      </c>
      <c r="R339" s="61">
        <f t="shared" si="358"/>
        <v>1</v>
      </c>
      <c r="S339" s="92">
        <f t="shared" si="358"/>
        <v>1</v>
      </c>
      <c r="T339" s="75" t="str">
        <f t="shared" si="358"/>
        <v xml:space="preserve">SplitHeatPump    </v>
      </c>
      <c r="U339" s="72">
        <f t="shared" si="316"/>
        <v>1</v>
      </c>
      <c r="V339" s="61">
        <f t="shared" si="317"/>
        <v>1</v>
      </c>
      <c r="W339" s="61">
        <f t="shared" si="359"/>
        <v>1</v>
      </c>
      <c r="X339" s="61">
        <f t="shared" si="331"/>
        <v>1</v>
      </c>
      <c r="Y339" s="61">
        <f t="shared" si="319"/>
        <v>0</v>
      </c>
      <c r="Z339" s="48">
        <v>1</v>
      </c>
      <c r="AA339" s="61" t="s">
        <v>0</v>
      </c>
      <c r="AB339" s="62" t="str">
        <f t="shared" si="327"/>
        <v>DuctlessVRFHeatPump - Ductless variable refrigerant flow (VRF) heat pump system</v>
      </c>
    </row>
    <row r="340" spans="3:30" x14ac:dyDescent="0.25">
      <c r="C340" s="61">
        <f t="shared" ref="C340:D340" si="366">C339</f>
        <v>2022</v>
      </c>
      <c r="D340" s="6">
        <f t="shared" si="366"/>
        <v>2023</v>
      </c>
      <c r="E340" s="176" t="s">
        <v>686</v>
      </c>
      <c r="F340" s="187">
        <v>15</v>
      </c>
      <c r="G340" s="188">
        <v>14.3</v>
      </c>
      <c r="H340" s="188">
        <v>0.95</v>
      </c>
      <c r="I340" s="188">
        <v>12.2</v>
      </c>
      <c r="J340" s="188">
        <v>11.7</v>
      </c>
      <c r="K340" s="188">
        <v>0.96</v>
      </c>
      <c r="L340" s="66" t="s">
        <v>712</v>
      </c>
      <c r="M340" s="66" t="s">
        <v>188</v>
      </c>
      <c r="N340" s="66" t="s">
        <v>189</v>
      </c>
      <c r="O340" s="72">
        <f t="shared" si="358"/>
        <v>1</v>
      </c>
      <c r="P340" s="61">
        <f t="shared" si="358"/>
        <v>1</v>
      </c>
      <c r="Q340" s="61">
        <f t="shared" si="358"/>
        <v>1</v>
      </c>
      <c r="R340" s="61">
        <f t="shared" si="358"/>
        <v>1</v>
      </c>
      <c r="S340" s="92">
        <f t="shared" si="358"/>
        <v>1</v>
      </c>
      <c r="T340" s="75" t="str">
        <f t="shared" si="358"/>
        <v xml:space="preserve">SplitHeatPump    </v>
      </c>
      <c r="U340" s="72">
        <f t="shared" ref="U340:U342" si="367">IF(AND(ISNUMBER(F340), F340&gt;0), 1, 0)</f>
        <v>1</v>
      </c>
      <c r="V340" s="61">
        <f t="shared" si="317"/>
        <v>1</v>
      </c>
      <c r="W340" s="61">
        <f t="shared" ref="W340:W342" si="368">IF(AND(ISNUMBER(I340), I340&gt;0), 1, 0)</f>
        <v>1</v>
      </c>
      <c r="X340" s="61">
        <f t="shared" si="331"/>
        <v>1</v>
      </c>
      <c r="Y340" s="61">
        <f t="shared" si="319"/>
        <v>0</v>
      </c>
      <c r="Z340" s="48">
        <v>1</v>
      </c>
      <c r="AA340" s="61" t="s">
        <v>0</v>
      </c>
      <c r="AB340" s="62" t="str">
        <f t="shared" si="327"/>
        <v>DuctedMiniSplitHeatPump - Ducted mini-split heat pump</v>
      </c>
    </row>
    <row r="341" spans="3:30" x14ac:dyDescent="0.25">
      <c r="C341" s="61">
        <f t="shared" ref="C341:D341" si="369">C340</f>
        <v>2022</v>
      </c>
      <c r="D341" s="6">
        <f t="shared" si="369"/>
        <v>2023</v>
      </c>
      <c r="E341" s="176" t="s">
        <v>687</v>
      </c>
      <c r="F341" s="187">
        <v>15</v>
      </c>
      <c r="G341" s="188">
        <v>14.3</v>
      </c>
      <c r="H341" s="188">
        <v>0.95</v>
      </c>
      <c r="I341" s="188">
        <v>12.2</v>
      </c>
      <c r="J341" s="188">
        <v>11.7</v>
      </c>
      <c r="K341" s="188">
        <v>0.96</v>
      </c>
      <c r="L341" s="66" t="s">
        <v>712</v>
      </c>
      <c r="M341" s="66" t="s">
        <v>188</v>
      </c>
      <c r="N341" s="66" t="s">
        <v>189</v>
      </c>
      <c r="O341" s="72">
        <f t="shared" si="358"/>
        <v>1</v>
      </c>
      <c r="P341" s="61">
        <f t="shared" si="358"/>
        <v>1</v>
      </c>
      <c r="Q341" s="61">
        <f t="shared" si="358"/>
        <v>1</v>
      </c>
      <c r="R341" s="61">
        <f t="shared" si="358"/>
        <v>1</v>
      </c>
      <c r="S341" s="92">
        <f t="shared" si="358"/>
        <v>1</v>
      </c>
      <c r="T341" s="75" t="str">
        <f t="shared" si="358"/>
        <v xml:space="preserve">SplitHeatPump    </v>
      </c>
      <c r="U341" s="72">
        <f t="shared" si="367"/>
        <v>1</v>
      </c>
      <c r="V341" s="61">
        <f t="shared" si="317"/>
        <v>1</v>
      </c>
      <c r="W341" s="61">
        <f t="shared" si="368"/>
        <v>1</v>
      </c>
      <c r="X341" s="61">
        <f t="shared" si="331"/>
        <v>1</v>
      </c>
      <c r="Y341" s="61">
        <f t="shared" si="319"/>
        <v>0</v>
      </c>
      <c r="Z341" s="48">
        <v>1</v>
      </c>
      <c r="AA341" s="61" t="s">
        <v>0</v>
      </c>
      <c r="AB341" s="62" t="str">
        <f t="shared" si="327"/>
        <v>DuctedMultiSplitHeatPump - Ducted multi-split heat pump</v>
      </c>
    </row>
    <row r="342" spans="3:30" x14ac:dyDescent="0.25">
      <c r="C342" s="61">
        <f t="shared" ref="C342:D342" si="370">C341</f>
        <v>2022</v>
      </c>
      <c r="D342" s="6">
        <f t="shared" si="370"/>
        <v>2023</v>
      </c>
      <c r="E342" s="176" t="s">
        <v>688</v>
      </c>
      <c r="F342" s="187">
        <v>15</v>
      </c>
      <c r="G342" s="188">
        <v>14.3</v>
      </c>
      <c r="H342" s="188">
        <v>0.95</v>
      </c>
      <c r="I342" s="188">
        <v>12.2</v>
      </c>
      <c r="J342" s="188">
        <v>11.7</v>
      </c>
      <c r="K342" s="188">
        <v>0.96</v>
      </c>
      <c r="L342" s="66" t="s">
        <v>712</v>
      </c>
      <c r="M342" s="66" t="s">
        <v>188</v>
      </c>
      <c r="N342" s="66" t="s">
        <v>189</v>
      </c>
      <c r="O342" s="72">
        <f t="shared" si="358"/>
        <v>1</v>
      </c>
      <c r="P342" s="61">
        <f t="shared" si="358"/>
        <v>1</v>
      </c>
      <c r="Q342" s="61">
        <f t="shared" si="358"/>
        <v>1</v>
      </c>
      <c r="R342" s="61">
        <f t="shared" si="358"/>
        <v>1</v>
      </c>
      <c r="S342" s="92">
        <f t="shared" si="358"/>
        <v>1</v>
      </c>
      <c r="T342" s="75" t="str">
        <f t="shared" si="358"/>
        <v xml:space="preserve">SplitHeatPump    </v>
      </c>
      <c r="U342" s="72">
        <f t="shared" si="367"/>
        <v>1</v>
      </c>
      <c r="V342" s="61">
        <f t="shared" si="317"/>
        <v>1</v>
      </c>
      <c r="W342" s="61">
        <f t="shared" si="368"/>
        <v>1</v>
      </c>
      <c r="X342" s="61">
        <f t="shared" si="331"/>
        <v>1</v>
      </c>
      <c r="Y342" s="61">
        <f t="shared" si="319"/>
        <v>0</v>
      </c>
      <c r="Z342" s="48">
        <v>1</v>
      </c>
      <c r="AA342" s="61" t="s">
        <v>0</v>
      </c>
      <c r="AB342" s="62" t="str">
        <f t="shared" si="327"/>
        <v>Ducted+DuctlessMultiSplitHeatPump - Ducted+ductless multi-split heat pump</v>
      </c>
    </row>
    <row r="343" spans="3:30" x14ac:dyDescent="0.25">
      <c r="C343" s="61">
        <f t="shared" ref="C343:D343" si="371">C342</f>
        <v>2022</v>
      </c>
      <c r="D343" s="6">
        <f t="shared" si="371"/>
        <v>2023</v>
      </c>
      <c r="E343" t="s">
        <v>182</v>
      </c>
      <c r="F343" s="67" t="s">
        <v>154</v>
      </c>
      <c r="G343" s="66" t="s">
        <v>733</v>
      </c>
      <c r="H343" s="66" t="s">
        <v>733</v>
      </c>
      <c r="I343" s="66" t="s">
        <v>155</v>
      </c>
      <c r="J343" s="66" t="s">
        <v>734</v>
      </c>
      <c r="K343" s="66" t="s">
        <v>734</v>
      </c>
      <c r="L343" s="10">
        <v>8.6999999999999993</v>
      </c>
      <c r="M343" s="66" t="s">
        <v>188</v>
      </c>
      <c r="N343" s="66" t="s">
        <v>189</v>
      </c>
      <c r="O343" s="72">
        <f t="shared" si="358"/>
        <v>1</v>
      </c>
      <c r="P343" s="61">
        <f t="shared" si="358"/>
        <v>0</v>
      </c>
      <c r="Q343" s="61">
        <f t="shared" si="358"/>
        <v>1</v>
      </c>
      <c r="R343" s="61">
        <f t="shared" si="358"/>
        <v>0</v>
      </c>
      <c r="S343" s="92">
        <f t="shared" si="358"/>
        <v>1</v>
      </c>
      <c r="T343" s="75" t="str">
        <f t="shared" si="358"/>
        <v xml:space="preserve">SplitHeatPump    </v>
      </c>
      <c r="U343" s="72">
        <f t="shared" si="316"/>
        <v>0</v>
      </c>
      <c r="V343" s="61">
        <f t="shared" si="317"/>
        <v>0</v>
      </c>
      <c r="W343" s="61">
        <f t="shared" ref="W343:W347" si="372">IF(AND(ISNUMBER(I343), I343&gt;0), 1, 0)</f>
        <v>0</v>
      </c>
      <c r="X343" s="61">
        <f t="shared" si="331"/>
        <v>0</v>
      </c>
      <c r="Y343" s="61">
        <f t="shared" si="319"/>
        <v>1</v>
      </c>
      <c r="Z343" s="48">
        <v>0</v>
      </c>
      <c r="AA343" s="61" t="s">
        <v>0</v>
      </c>
      <c r="AB343" s="62" t="str">
        <f t="shared" si="327"/>
        <v xml:space="preserve">RoomHeatPump - Room (non-central) heat pump system                  </v>
      </c>
    </row>
    <row r="344" spans="3:30" x14ac:dyDescent="0.25">
      <c r="C344" s="61">
        <f t="shared" ref="C344:D344" si="373">C343</f>
        <v>2022</v>
      </c>
      <c r="D344" s="6">
        <f t="shared" si="373"/>
        <v>2023</v>
      </c>
      <c r="E344" t="s">
        <v>367</v>
      </c>
      <c r="F344" s="187">
        <v>15</v>
      </c>
      <c r="G344" s="188">
        <v>14.3</v>
      </c>
      <c r="H344" s="188">
        <v>0.95</v>
      </c>
      <c r="I344" s="188">
        <v>12.2</v>
      </c>
      <c r="J344" s="188">
        <v>11.7</v>
      </c>
      <c r="K344" s="188">
        <v>0.96</v>
      </c>
      <c r="L344" s="66" t="s">
        <v>712</v>
      </c>
      <c r="M344" s="66" t="s">
        <v>188</v>
      </c>
      <c r="N344" s="66" t="s">
        <v>189</v>
      </c>
      <c r="O344" s="72">
        <f>O303</f>
        <v>1</v>
      </c>
      <c r="P344" s="61">
        <f>P303</f>
        <v>-1</v>
      </c>
      <c r="Q344" s="61">
        <f>Q303</f>
        <v>1</v>
      </c>
      <c r="R344" s="61">
        <f>R303</f>
        <v>1</v>
      </c>
      <c r="S344" s="70">
        <v>0</v>
      </c>
      <c r="T344" s="75" t="str">
        <f>T303</f>
        <v xml:space="preserve">SplitHeatPump    </v>
      </c>
      <c r="U344" s="72">
        <f t="shared" si="316"/>
        <v>1</v>
      </c>
      <c r="V344" s="61">
        <f t="shared" si="317"/>
        <v>1</v>
      </c>
      <c r="W344" s="61">
        <f t="shared" si="372"/>
        <v>1</v>
      </c>
      <c r="X344" s="61">
        <f t="shared" si="331"/>
        <v>1</v>
      </c>
      <c r="Y344" s="61">
        <f t="shared" si="319"/>
        <v>0</v>
      </c>
      <c r="Z344" s="48">
        <v>1</v>
      </c>
      <c r="AA344" s="61" t="s">
        <v>0</v>
      </c>
      <c r="AB344" s="62" t="str">
        <f t="shared" si="327"/>
        <v>AirToWaterHeatPump - Air to water heat pump (able to heat DHW)</v>
      </c>
    </row>
    <row r="345" spans="3:30" x14ac:dyDescent="0.25">
      <c r="C345" s="61">
        <f t="shared" ref="C345:D345" si="374">C344</f>
        <v>2022</v>
      </c>
      <c r="D345" s="6">
        <f t="shared" si="374"/>
        <v>2023</v>
      </c>
      <c r="E345" t="s">
        <v>801</v>
      </c>
      <c r="F345" s="187">
        <v>15</v>
      </c>
      <c r="G345" s="188">
        <v>14.3</v>
      </c>
      <c r="H345" s="188">
        <v>0.95</v>
      </c>
      <c r="I345" s="188">
        <v>12.2</v>
      </c>
      <c r="J345" s="188">
        <v>11.7</v>
      </c>
      <c r="K345" s="188">
        <v>0.96</v>
      </c>
      <c r="L345" s="66" t="s">
        <v>712</v>
      </c>
      <c r="M345" s="66" t="s">
        <v>188</v>
      </c>
      <c r="N345" s="66" t="s">
        <v>189</v>
      </c>
      <c r="O345" s="70">
        <v>1</v>
      </c>
      <c r="P345" s="48">
        <v>1</v>
      </c>
      <c r="Q345" s="48">
        <v>1</v>
      </c>
      <c r="R345" s="48">
        <v>0</v>
      </c>
      <c r="S345" s="70">
        <v>0</v>
      </c>
      <c r="T345" s="97" t="s">
        <v>178</v>
      </c>
      <c r="U345" s="70">
        <v>1</v>
      </c>
      <c r="V345" s="48">
        <v>1</v>
      </c>
      <c r="W345" s="48">
        <v>1</v>
      </c>
      <c r="X345" s="48">
        <v>1</v>
      </c>
      <c r="Y345" s="48">
        <v>0</v>
      </c>
      <c r="Z345" s="48">
        <v>1</v>
      </c>
      <c r="AA345" s="61" t="s">
        <v>0</v>
      </c>
      <c r="AB345" s="54" t="s">
        <v>802</v>
      </c>
      <c r="AD345" t="s">
        <v>803</v>
      </c>
    </row>
    <row r="346" spans="3:30" x14ac:dyDescent="0.25">
      <c r="C346" s="61">
        <f t="shared" ref="C346:D346" si="375">C345</f>
        <v>2022</v>
      </c>
      <c r="D346" s="6">
        <f t="shared" si="375"/>
        <v>2023</v>
      </c>
      <c r="E346" t="s">
        <v>366</v>
      </c>
      <c r="F346" s="187">
        <v>15</v>
      </c>
      <c r="G346" s="188">
        <v>14.3</v>
      </c>
      <c r="H346" s="188">
        <v>0.95</v>
      </c>
      <c r="I346" s="188">
        <v>12.2</v>
      </c>
      <c r="J346" s="188">
        <v>11.7</v>
      </c>
      <c r="K346" s="188">
        <v>0.96</v>
      </c>
      <c r="L346" s="66" t="s">
        <v>712</v>
      </c>
      <c r="M346" s="66" t="s">
        <v>188</v>
      </c>
      <c r="N346" s="66" t="s">
        <v>189</v>
      </c>
      <c r="O346" s="72">
        <f t="shared" ref="O346:T354" si="376">O304</f>
        <v>1</v>
      </c>
      <c r="P346" s="61">
        <f t="shared" si="376"/>
        <v>-1</v>
      </c>
      <c r="Q346" s="61">
        <f t="shared" si="376"/>
        <v>1</v>
      </c>
      <c r="R346" s="61">
        <f t="shared" si="376"/>
        <v>1</v>
      </c>
      <c r="S346" s="92">
        <f t="shared" si="376"/>
        <v>1</v>
      </c>
      <c r="T346" s="75" t="str">
        <f t="shared" si="376"/>
        <v xml:space="preserve">SplitHeatPump    </v>
      </c>
      <c r="U346" s="72">
        <f t="shared" si="316"/>
        <v>1</v>
      </c>
      <c r="V346" s="61">
        <f t="shared" si="317"/>
        <v>1</v>
      </c>
      <c r="W346" s="61">
        <f t="shared" si="372"/>
        <v>1</v>
      </c>
      <c r="X346" s="61">
        <f t="shared" si="331"/>
        <v>1</v>
      </c>
      <c r="Y346" s="61">
        <f t="shared" si="319"/>
        <v>0</v>
      </c>
      <c r="Z346" s="48">
        <v>1</v>
      </c>
      <c r="AA346" s="61" t="s">
        <v>0</v>
      </c>
      <c r="AB346" s="62" t="str">
        <f t="shared" ref="AB346:AB355" si="377">AB304</f>
        <v>GroundSourceHeatPump - Ground source heat pump (able to heat DHW)</v>
      </c>
    </row>
    <row r="347" spans="3:30" x14ac:dyDescent="0.25">
      <c r="C347" s="61">
        <f t="shared" ref="C347:D347" si="378">C346</f>
        <v>2022</v>
      </c>
      <c r="D347" s="6">
        <f t="shared" si="378"/>
        <v>2023</v>
      </c>
      <c r="E347" t="s">
        <v>549</v>
      </c>
      <c r="F347" s="187">
        <v>15</v>
      </c>
      <c r="G347" s="188">
        <v>14.3</v>
      </c>
      <c r="H347" s="188">
        <v>0.95</v>
      </c>
      <c r="I347" s="188">
        <v>12.2</v>
      </c>
      <c r="J347" s="188">
        <v>11.7</v>
      </c>
      <c r="K347" s="188">
        <v>0.96</v>
      </c>
      <c r="L347" s="66" t="s">
        <v>712</v>
      </c>
      <c r="M347" s="66" t="s">
        <v>188</v>
      </c>
      <c r="N347" s="66" t="s">
        <v>189</v>
      </c>
      <c r="O347" s="72">
        <f t="shared" si="376"/>
        <v>1</v>
      </c>
      <c r="P347" s="61">
        <f t="shared" si="376"/>
        <v>-1</v>
      </c>
      <c r="Q347" s="61">
        <f t="shared" si="376"/>
        <v>1</v>
      </c>
      <c r="R347" s="61">
        <f t="shared" si="376"/>
        <v>0</v>
      </c>
      <c r="S347" s="92">
        <f t="shared" si="376"/>
        <v>0</v>
      </c>
      <c r="T347" s="75" t="str">
        <f t="shared" si="376"/>
        <v xml:space="preserve">SplitHeatPump    </v>
      </c>
      <c r="U347" s="72">
        <f t="shared" si="316"/>
        <v>1</v>
      </c>
      <c r="V347" s="61">
        <f t="shared" si="317"/>
        <v>1</v>
      </c>
      <c r="W347" s="61">
        <f t="shared" si="372"/>
        <v>1</v>
      </c>
      <c r="X347" s="61">
        <f t="shared" si="331"/>
        <v>1</v>
      </c>
      <c r="Y347" s="61">
        <f t="shared" si="319"/>
        <v>0</v>
      </c>
      <c r="Z347" s="48">
        <v>1</v>
      </c>
      <c r="AA347" s="61" t="s">
        <v>0</v>
      </c>
      <c r="AB347" s="62" t="str">
        <f t="shared" si="377"/>
        <v>VCHP - Variable Capacity Heat Pump</v>
      </c>
    </row>
    <row r="348" spans="3:30" x14ac:dyDescent="0.25">
      <c r="C348" s="61">
        <f t="shared" ref="C348:D350" si="379">C347</f>
        <v>2022</v>
      </c>
      <c r="D348" s="6">
        <f t="shared" si="379"/>
        <v>2023</v>
      </c>
      <c r="E348" t="s">
        <v>728</v>
      </c>
      <c r="F348" s="187">
        <v>15</v>
      </c>
      <c r="G348" s="188">
        <v>14.3</v>
      </c>
      <c r="H348" s="188">
        <v>0.95</v>
      </c>
      <c r="I348" s="188">
        <v>12.2</v>
      </c>
      <c r="J348" s="188">
        <v>11.7</v>
      </c>
      <c r="K348" s="188">
        <v>0.96</v>
      </c>
      <c r="L348" s="66" t="s">
        <v>712</v>
      </c>
      <c r="M348" s="66" t="s">
        <v>188</v>
      </c>
      <c r="N348" s="66" t="s">
        <v>189</v>
      </c>
      <c r="O348" s="72">
        <f t="shared" si="376"/>
        <v>1</v>
      </c>
      <c r="P348" s="61">
        <f t="shared" si="376"/>
        <v>-1</v>
      </c>
      <c r="Q348" s="61">
        <f t="shared" si="376"/>
        <v>1</v>
      </c>
      <c r="R348" s="61">
        <f t="shared" si="376"/>
        <v>0</v>
      </c>
      <c r="S348" s="92">
        <f t="shared" si="376"/>
        <v>0</v>
      </c>
      <c r="T348" s="75" t="str">
        <f t="shared" si="376"/>
        <v xml:space="preserve">SplitHeatPump    </v>
      </c>
      <c r="U348" s="72">
        <f t="shared" ref="U348" si="380">IF(AND(ISNUMBER(F348), F348&gt;0), 1, 0)</f>
        <v>1</v>
      </c>
      <c r="V348" s="61">
        <f t="shared" si="317"/>
        <v>1</v>
      </c>
      <c r="W348" s="61">
        <f t="shared" ref="W348" si="381">IF(AND(ISNUMBER(I348), I348&gt;0), 1, 0)</f>
        <v>1</v>
      </c>
      <c r="X348" s="61">
        <f t="shared" si="331"/>
        <v>1</v>
      </c>
      <c r="Y348" s="61">
        <f t="shared" ref="Y348" si="382">IF(AND(ISNUMBER(L348), L348&gt;0), 1, 0)</f>
        <v>0</v>
      </c>
      <c r="Z348" s="48">
        <v>1</v>
      </c>
      <c r="AA348" s="61" t="s">
        <v>0</v>
      </c>
      <c r="AB348" s="62" t="str">
        <f t="shared" si="377"/>
        <v>VCHP2 - Variable Capacity Heat Pump</v>
      </c>
    </row>
    <row r="349" spans="3:30" x14ac:dyDescent="0.25">
      <c r="C349" s="61">
        <f t="shared" si="379"/>
        <v>2022</v>
      </c>
      <c r="D349" s="6">
        <f t="shared" si="379"/>
        <v>2023</v>
      </c>
      <c r="E349" t="s">
        <v>1065</v>
      </c>
      <c r="F349" s="187">
        <v>15</v>
      </c>
      <c r="G349" s="188">
        <v>14.3</v>
      </c>
      <c r="H349" s="188">
        <v>0.95</v>
      </c>
      <c r="I349" s="188">
        <v>12.2</v>
      </c>
      <c r="J349" s="188">
        <v>11.7</v>
      </c>
      <c r="K349" s="188">
        <v>0.96</v>
      </c>
      <c r="L349" s="66" t="s">
        <v>712</v>
      </c>
      <c r="M349" s="66" t="s">
        <v>188</v>
      </c>
      <c r="N349" s="66" t="s">
        <v>189</v>
      </c>
      <c r="O349" s="72">
        <f t="shared" si="376"/>
        <v>1</v>
      </c>
      <c r="P349" s="61">
        <f t="shared" si="376"/>
        <v>-1</v>
      </c>
      <c r="Q349" s="61">
        <f t="shared" si="376"/>
        <v>1</v>
      </c>
      <c r="R349" s="61">
        <f t="shared" si="376"/>
        <v>0</v>
      </c>
      <c r="S349" s="92">
        <f t="shared" si="376"/>
        <v>0</v>
      </c>
      <c r="T349" s="75" t="str">
        <f t="shared" si="376"/>
        <v xml:space="preserve">SplitHeatPump    </v>
      </c>
      <c r="U349" s="72">
        <f t="shared" ref="U349" si="383">IF(AND(ISNUMBER(F349), F349&gt;0), 1, 0)</f>
        <v>1</v>
      </c>
      <c r="V349" s="61">
        <f t="shared" ref="V349" si="384">IF(AND(ISNUMBER(G349), G349&gt;0), 1, 0)</f>
        <v>1</v>
      </c>
      <c r="W349" s="61">
        <f t="shared" ref="W349" si="385">IF(AND(ISNUMBER(I349), I349&gt;0), 1, 0)</f>
        <v>1</v>
      </c>
      <c r="X349" s="61">
        <f t="shared" ref="X349" si="386">IF(AND(ISNUMBER(J349), J349&gt;0), 1, 0)</f>
        <v>1</v>
      </c>
      <c r="Y349" s="61">
        <f t="shared" ref="Y349" si="387">IF(AND(ISNUMBER(L349), L349&gt;0), 1, 0)</f>
        <v>0</v>
      </c>
      <c r="Z349" s="48">
        <v>1</v>
      </c>
      <c r="AA349" s="61" t="s">
        <v>0</v>
      </c>
      <c r="AB349" s="62" t="str">
        <f t="shared" si="377"/>
        <v>VCHP3</v>
      </c>
    </row>
    <row r="350" spans="3:30" x14ac:dyDescent="0.25">
      <c r="C350" s="61">
        <f t="shared" si="379"/>
        <v>2022</v>
      </c>
      <c r="D350" s="6">
        <f t="shared" si="379"/>
        <v>2023</v>
      </c>
      <c r="E350" t="s">
        <v>183</v>
      </c>
      <c r="F350" s="52">
        <v>0</v>
      </c>
      <c r="G350" s="11">
        <v>0</v>
      </c>
      <c r="H350" s="11">
        <v>1</v>
      </c>
      <c r="I350" s="66" t="s">
        <v>155</v>
      </c>
      <c r="J350" s="66" t="s">
        <v>734</v>
      </c>
      <c r="K350" s="66" t="s">
        <v>734</v>
      </c>
      <c r="L350" s="66" t="s">
        <v>712</v>
      </c>
      <c r="M350" s="66" t="s">
        <v>188</v>
      </c>
      <c r="N350" s="66" t="s">
        <v>189</v>
      </c>
      <c r="O350" s="72">
        <f t="shared" si="376"/>
        <v>0</v>
      </c>
      <c r="P350" s="61">
        <f t="shared" si="376"/>
        <v>1</v>
      </c>
      <c r="Q350" s="61">
        <f t="shared" si="376"/>
        <v>0</v>
      </c>
      <c r="R350" s="61">
        <f t="shared" si="376"/>
        <v>0</v>
      </c>
      <c r="S350" s="92">
        <f t="shared" si="376"/>
        <v>0</v>
      </c>
      <c r="T350" s="75" t="str">
        <f t="shared" si="376"/>
        <v xml:space="preserve">SplitAirCond     </v>
      </c>
      <c r="U350" s="72">
        <f t="shared" si="316"/>
        <v>0</v>
      </c>
      <c r="V350" s="61">
        <f t="shared" si="317"/>
        <v>0</v>
      </c>
      <c r="W350" s="61">
        <f t="shared" ref="W350:W355" si="388">IF(AND(ISNUMBER(I350), I350&gt;0), 1, 0)</f>
        <v>0</v>
      </c>
      <c r="X350" s="61">
        <f t="shared" si="331"/>
        <v>0</v>
      </c>
      <c r="Y350" s="61">
        <f t="shared" si="319"/>
        <v>0</v>
      </c>
      <c r="Z350" s="48">
        <v>1</v>
      </c>
      <c r="AA350" s="61" t="s">
        <v>0</v>
      </c>
      <c r="AB350" s="62" t="str">
        <f t="shared" si="377"/>
        <v xml:space="preserve">EvapDirect - Direct evaporative cooling system                      </v>
      </c>
    </row>
    <row r="351" spans="3:30" x14ac:dyDescent="0.25">
      <c r="C351" s="61">
        <f t="shared" ref="C351:D351" si="389">C350</f>
        <v>2022</v>
      </c>
      <c r="D351" s="6">
        <f t="shared" si="389"/>
        <v>2023</v>
      </c>
      <c r="E351" t="s">
        <v>184</v>
      </c>
      <c r="F351" s="67" t="s">
        <v>154</v>
      </c>
      <c r="G351" s="66" t="s">
        <v>733</v>
      </c>
      <c r="H351" s="66" t="s">
        <v>733</v>
      </c>
      <c r="I351" s="48">
        <v>13</v>
      </c>
      <c r="J351" s="189">
        <f t="shared" ref="J351:J352" si="390">I351*0.96</f>
        <v>12.48</v>
      </c>
      <c r="K351" s="188">
        <v>0.96</v>
      </c>
      <c r="L351" s="66" t="s">
        <v>712</v>
      </c>
      <c r="M351" s="66" t="s">
        <v>188</v>
      </c>
      <c r="N351" s="66" t="s">
        <v>189</v>
      </c>
      <c r="O351" s="72">
        <f t="shared" si="376"/>
        <v>0</v>
      </c>
      <c r="P351" s="61">
        <f t="shared" si="376"/>
        <v>1</v>
      </c>
      <c r="Q351" s="61">
        <f t="shared" si="376"/>
        <v>0</v>
      </c>
      <c r="R351" s="61">
        <f t="shared" si="376"/>
        <v>0</v>
      </c>
      <c r="S351" s="92">
        <f t="shared" si="376"/>
        <v>0</v>
      </c>
      <c r="T351" s="75" t="str">
        <f t="shared" si="376"/>
        <v xml:space="preserve">SplitAirCond     </v>
      </c>
      <c r="U351" s="72">
        <f t="shared" si="316"/>
        <v>0</v>
      </c>
      <c r="V351" s="61">
        <f t="shared" si="317"/>
        <v>0</v>
      </c>
      <c r="W351" s="61">
        <f t="shared" si="388"/>
        <v>1</v>
      </c>
      <c r="X351" s="61">
        <f t="shared" si="331"/>
        <v>1</v>
      </c>
      <c r="Y351" s="61">
        <f t="shared" si="319"/>
        <v>0</v>
      </c>
      <c r="Z351" s="48">
        <v>1</v>
      </c>
      <c r="AA351" s="61" t="s">
        <v>0</v>
      </c>
      <c r="AB351" s="62" t="str">
        <f t="shared" si="377"/>
        <v xml:space="preserve">EvapIndirDirect - Indirect-direct evaporative cooling system        </v>
      </c>
    </row>
    <row r="352" spans="3:30" x14ac:dyDescent="0.25">
      <c r="C352" s="61">
        <f t="shared" ref="C352:D352" si="391">C351</f>
        <v>2022</v>
      </c>
      <c r="D352" s="6">
        <f t="shared" si="391"/>
        <v>2023</v>
      </c>
      <c r="E352" t="s">
        <v>185</v>
      </c>
      <c r="F352" s="67" t="s">
        <v>154</v>
      </c>
      <c r="G352" s="66" t="s">
        <v>733</v>
      </c>
      <c r="H352" s="66" t="s">
        <v>733</v>
      </c>
      <c r="I352" s="48">
        <v>13</v>
      </c>
      <c r="J352" s="189">
        <f t="shared" si="390"/>
        <v>12.48</v>
      </c>
      <c r="K352" s="188">
        <v>0.96</v>
      </c>
      <c r="L352" s="66" t="s">
        <v>712</v>
      </c>
      <c r="M352" s="66" t="s">
        <v>188</v>
      </c>
      <c r="N352" s="66" t="s">
        <v>189</v>
      </c>
      <c r="O352" s="72">
        <f t="shared" si="376"/>
        <v>0</v>
      </c>
      <c r="P352" s="61">
        <f t="shared" si="376"/>
        <v>1</v>
      </c>
      <c r="Q352" s="61">
        <f t="shared" si="376"/>
        <v>0</v>
      </c>
      <c r="R352" s="61">
        <f t="shared" si="376"/>
        <v>0</v>
      </c>
      <c r="S352" s="92">
        <f t="shared" si="376"/>
        <v>0</v>
      </c>
      <c r="T352" s="75" t="str">
        <f t="shared" si="376"/>
        <v xml:space="preserve">SplitAirCond     </v>
      </c>
      <c r="U352" s="72">
        <f t="shared" si="316"/>
        <v>0</v>
      </c>
      <c r="V352" s="61">
        <f t="shared" si="317"/>
        <v>0</v>
      </c>
      <c r="W352" s="61">
        <f t="shared" si="388"/>
        <v>1</v>
      </c>
      <c r="X352" s="61">
        <f t="shared" si="331"/>
        <v>1</v>
      </c>
      <c r="Y352" s="61">
        <f t="shared" si="319"/>
        <v>0</v>
      </c>
      <c r="Z352" s="48">
        <v>1</v>
      </c>
      <c r="AA352" s="61" t="s">
        <v>0</v>
      </c>
      <c r="AB352" s="62" t="str">
        <f t="shared" si="377"/>
        <v xml:space="preserve">EvapIndirect - Indirect evaporative cooling system                  </v>
      </c>
    </row>
    <row r="353" spans="1:30" x14ac:dyDescent="0.25">
      <c r="C353" s="61">
        <f t="shared" ref="C353:D353" si="392">C352</f>
        <v>2022</v>
      </c>
      <c r="D353" s="6">
        <f t="shared" si="392"/>
        <v>2023</v>
      </c>
      <c r="E353" t="s">
        <v>379</v>
      </c>
      <c r="F353" s="51">
        <v>16</v>
      </c>
      <c r="G353" s="189">
        <f>F353*0.96</f>
        <v>15.36</v>
      </c>
      <c r="H353" s="188">
        <v>0.96</v>
      </c>
      <c r="I353" s="11">
        <v>14</v>
      </c>
      <c r="J353" s="189">
        <f>I353*0.96</f>
        <v>13.44</v>
      </c>
      <c r="K353" s="188">
        <v>0.96</v>
      </c>
      <c r="L353" s="66" t="s">
        <v>712</v>
      </c>
      <c r="M353" s="66" t="s">
        <v>188</v>
      </c>
      <c r="N353" s="66" t="s">
        <v>189</v>
      </c>
      <c r="O353" s="72">
        <f t="shared" si="376"/>
        <v>1</v>
      </c>
      <c r="P353" s="61">
        <f t="shared" si="376"/>
        <v>1</v>
      </c>
      <c r="Q353" s="61">
        <f t="shared" si="376"/>
        <v>0</v>
      </c>
      <c r="R353" s="61">
        <f t="shared" si="376"/>
        <v>1</v>
      </c>
      <c r="S353" s="92">
        <f t="shared" si="376"/>
        <v>0</v>
      </c>
      <c r="T353" s="75" t="str">
        <f t="shared" si="376"/>
        <v xml:space="preserve">SplitAirCond     </v>
      </c>
      <c r="U353" s="72">
        <f t="shared" si="316"/>
        <v>1</v>
      </c>
      <c r="V353" s="61">
        <f t="shared" si="317"/>
        <v>1</v>
      </c>
      <c r="W353" s="61">
        <f t="shared" si="388"/>
        <v>1</v>
      </c>
      <c r="X353" s="61">
        <f t="shared" si="331"/>
        <v>1</v>
      </c>
      <c r="Y353" s="61">
        <f t="shared" si="319"/>
        <v>0</v>
      </c>
      <c r="Z353" s="48">
        <v>1</v>
      </c>
      <c r="AA353" s="61" t="s">
        <v>0</v>
      </c>
      <c r="AB353" s="62" t="str">
        <f t="shared" si="377"/>
        <v>EvapCondenser - Evaporatively-cooled condenser for split AC systems</v>
      </c>
      <c r="AD353" s="125"/>
    </row>
    <row r="354" spans="1:30" x14ac:dyDescent="0.25">
      <c r="A354" t="s">
        <v>0</v>
      </c>
      <c r="C354" s="61">
        <f t="shared" ref="C354:D354" si="393">C353</f>
        <v>2022</v>
      </c>
      <c r="D354" s="6">
        <f t="shared" si="393"/>
        <v>2023</v>
      </c>
      <c r="E354" s="24" t="s">
        <v>186</v>
      </c>
      <c r="F354" s="67" t="s">
        <v>154</v>
      </c>
      <c r="G354" s="66" t="s">
        <v>733</v>
      </c>
      <c r="H354" s="66" t="s">
        <v>733</v>
      </c>
      <c r="I354" s="11">
        <v>0</v>
      </c>
      <c r="J354" s="11">
        <v>0</v>
      </c>
      <c r="K354" s="11">
        <v>1</v>
      </c>
      <c r="L354" s="66" t="s">
        <v>712</v>
      </c>
      <c r="M354" s="66" t="s">
        <v>188</v>
      </c>
      <c r="N354" s="66" t="s">
        <v>189</v>
      </c>
      <c r="O354" s="72">
        <f t="shared" si="376"/>
        <v>0</v>
      </c>
      <c r="P354" s="61">
        <f t="shared" si="376"/>
        <v>1</v>
      </c>
      <c r="Q354" s="61">
        <f t="shared" si="376"/>
        <v>0</v>
      </c>
      <c r="R354" s="61">
        <f t="shared" si="376"/>
        <v>1</v>
      </c>
      <c r="S354" s="92">
        <f t="shared" si="376"/>
        <v>0</v>
      </c>
      <c r="T354" s="75" t="str">
        <f t="shared" si="376"/>
        <v>N/A</v>
      </c>
      <c r="U354" s="72">
        <f t="shared" si="316"/>
        <v>0</v>
      </c>
      <c r="V354" s="61">
        <f t="shared" si="317"/>
        <v>0</v>
      </c>
      <c r="W354" s="61">
        <f t="shared" si="388"/>
        <v>0</v>
      </c>
      <c r="X354" s="61">
        <f t="shared" si="331"/>
        <v>0</v>
      </c>
      <c r="Y354" s="61">
        <f t="shared" si="319"/>
        <v>0</v>
      </c>
      <c r="Z354" s="48">
        <v>1</v>
      </c>
      <c r="AA354" s="61" t="s">
        <v>0</v>
      </c>
      <c r="AB354" s="62" t="str">
        <f t="shared" si="377"/>
        <v xml:space="preserve">Evap/CC - Evaporatively-cooled condensers                           </v>
      </c>
    </row>
    <row r="355" spans="1:30" x14ac:dyDescent="0.25">
      <c r="A355" t="s">
        <v>0</v>
      </c>
      <c r="C355" s="61">
        <f t="shared" ref="C355:D355" si="394">C354</f>
        <v>2022</v>
      </c>
      <c r="D355" s="6">
        <f t="shared" si="394"/>
        <v>2023</v>
      </c>
      <c r="E355" s="24" t="s">
        <v>187</v>
      </c>
      <c r="F355" s="52">
        <v>0</v>
      </c>
      <c r="G355" s="11">
        <v>0</v>
      </c>
      <c r="H355" s="11">
        <v>1</v>
      </c>
      <c r="I355" s="11">
        <v>0</v>
      </c>
      <c r="J355" s="11">
        <v>0</v>
      </c>
      <c r="K355" s="11">
        <v>1</v>
      </c>
      <c r="L355" s="66" t="s">
        <v>712</v>
      </c>
      <c r="M355" s="66" t="s">
        <v>188</v>
      </c>
      <c r="N355" s="66" t="s">
        <v>189</v>
      </c>
      <c r="O355" s="72">
        <f t="shared" ref="O355:T355" si="395">O313</f>
        <v>0</v>
      </c>
      <c r="P355" s="61">
        <f t="shared" si="395"/>
        <v>1</v>
      </c>
      <c r="Q355" s="61">
        <f t="shared" si="395"/>
        <v>0</v>
      </c>
      <c r="R355" s="61">
        <f t="shared" si="395"/>
        <v>1</v>
      </c>
      <c r="S355" s="92">
        <f t="shared" si="395"/>
        <v>0</v>
      </c>
      <c r="T355" s="75" t="str">
        <f t="shared" si="395"/>
        <v>N/A</v>
      </c>
      <c r="U355" s="72">
        <f t="shared" si="316"/>
        <v>0</v>
      </c>
      <c r="V355" s="61">
        <f t="shared" si="317"/>
        <v>0</v>
      </c>
      <c r="W355" s="61">
        <f t="shared" si="388"/>
        <v>0</v>
      </c>
      <c r="X355" s="61">
        <f t="shared" si="331"/>
        <v>0</v>
      </c>
      <c r="Y355" s="61">
        <f t="shared" si="319"/>
        <v>0</v>
      </c>
      <c r="Z355" s="48">
        <v>1</v>
      </c>
      <c r="AA355" s="61" t="s">
        <v>0</v>
      </c>
      <c r="AB355" s="62" t="str">
        <f t="shared" si="377"/>
        <v xml:space="preserve">IceSAC - Ice storage air conditioning system                        </v>
      </c>
    </row>
    <row r="356" spans="1:30" x14ac:dyDescent="0.25">
      <c r="A356" t="s">
        <v>764</v>
      </c>
      <c r="D356" s="126"/>
      <c r="E356" s="126"/>
      <c r="F356" s="126"/>
      <c r="G356" s="126"/>
      <c r="H356" s="126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  <c r="AA356" s="127"/>
      <c r="AB356" s="127"/>
    </row>
    <row r="357" spans="1:30" x14ac:dyDescent="0.25">
      <c r="C357" s="1">
        <v>2025</v>
      </c>
      <c r="D357" s="60">
        <v>2026</v>
      </c>
      <c r="E357" t="s">
        <v>1098</v>
      </c>
      <c r="F357" s="67" t="s">
        <v>154</v>
      </c>
      <c r="G357" s="66" t="s">
        <v>733</v>
      </c>
      <c r="H357" s="66" t="s">
        <v>733</v>
      </c>
      <c r="I357" s="66" t="s">
        <v>155</v>
      </c>
      <c r="J357" s="66" t="s">
        <v>734</v>
      </c>
      <c r="K357" s="66" t="s">
        <v>734</v>
      </c>
      <c r="L357" s="66" t="s">
        <v>712</v>
      </c>
      <c r="M357" s="66" t="s">
        <v>188</v>
      </c>
      <c r="N357" s="66" t="s">
        <v>189</v>
      </c>
      <c r="O357" s="72">
        <f t="shared" ref="O357:T357" si="396">O315</f>
        <v>1</v>
      </c>
      <c r="P357" s="61">
        <f t="shared" si="396"/>
        <v>-1</v>
      </c>
      <c r="Q357" s="61">
        <f t="shared" si="396"/>
        <v>0</v>
      </c>
      <c r="R357" s="61">
        <f t="shared" si="396"/>
        <v>0</v>
      </c>
      <c r="S357" s="92">
        <f t="shared" si="396"/>
        <v>0</v>
      </c>
      <c r="T357" s="75" t="str">
        <f t="shared" si="396"/>
        <v xml:space="preserve">SplitAirCond     </v>
      </c>
      <c r="U357" s="72">
        <f t="shared" ref="U357:U398" si="397">IF(AND(ISNUMBER(F357), F357&gt;0), 1, 0)</f>
        <v>0</v>
      </c>
      <c r="V357" s="61">
        <f t="shared" ref="V357:V398" si="398">IF(AND(ISNUMBER(G357), G357&gt;0), 1, 0)</f>
        <v>0</v>
      </c>
      <c r="W357" s="61">
        <f t="shared" ref="W357:X359" si="399">IF(AND(ISNUMBER(I357), I357&gt;0), 1, 0)</f>
        <v>0</v>
      </c>
      <c r="X357" s="61">
        <f t="shared" si="399"/>
        <v>0</v>
      </c>
      <c r="Y357" s="61">
        <f t="shared" ref="Y357:Y398" si="400">IF(AND(ISNUMBER(L357), L357&gt;0), 1, 0)</f>
        <v>0</v>
      </c>
      <c r="Z357" s="48">
        <v>0</v>
      </c>
      <c r="AA357" s="61" t="s">
        <v>0</v>
      </c>
      <c r="AB357" s="62" t="str">
        <f t="shared" ref="AB357:AB391" si="401">AB315</f>
        <v xml:space="preserve">NoCooling - No cooling equipment                                    </v>
      </c>
    </row>
    <row r="358" spans="1:30" x14ac:dyDescent="0.25">
      <c r="C358" s="61">
        <f t="shared" ref="C358:D358" si="402">C357</f>
        <v>2025</v>
      </c>
      <c r="D358" s="6">
        <f t="shared" si="402"/>
        <v>2026</v>
      </c>
      <c r="E358" t="s">
        <v>1096</v>
      </c>
      <c r="F358" s="187">
        <v>15</v>
      </c>
      <c r="G358" s="188">
        <v>14.3</v>
      </c>
      <c r="H358" s="188">
        <v>0.95</v>
      </c>
      <c r="I358" s="188">
        <v>12.2</v>
      </c>
      <c r="J358" s="188">
        <v>11.7</v>
      </c>
      <c r="K358" s="188">
        <v>0.96</v>
      </c>
      <c r="L358" s="66" t="s">
        <v>712</v>
      </c>
      <c r="M358" s="66" t="s">
        <v>188</v>
      </c>
      <c r="N358" s="66" t="s">
        <v>189</v>
      </c>
      <c r="O358" s="72">
        <f t="shared" ref="O358:T359" si="403">O316</f>
        <v>1</v>
      </c>
      <c r="P358" s="61">
        <f t="shared" si="403"/>
        <v>1</v>
      </c>
      <c r="Q358" s="61">
        <f t="shared" si="403"/>
        <v>0</v>
      </c>
      <c r="R358" s="61">
        <f t="shared" si="403"/>
        <v>1</v>
      </c>
      <c r="S358" s="92">
        <f t="shared" si="403"/>
        <v>0</v>
      </c>
      <c r="T358" s="75" t="str">
        <f t="shared" si="403"/>
        <v xml:space="preserve">SplitAirCond     </v>
      </c>
      <c r="U358" s="72">
        <f t="shared" ref="U358" si="404">IF(AND(ISNUMBER(F358), F358&gt;0), 1, 0)</f>
        <v>1</v>
      </c>
      <c r="V358" s="61">
        <f t="shared" ref="V358" si="405">IF(AND(ISNUMBER(G358), G358&gt;0), 1, 0)</f>
        <v>1</v>
      </c>
      <c r="W358" s="61">
        <f t="shared" si="399"/>
        <v>1</v>
      </c>
      <c r="X358" s="61">
        <f t="shared" si="399"/>
        <v>1</v>
      </c>
      <c r="Y358" s="61">
        <f t="shared" ref="Y358" si="406">IF(AND(ISNUMBER(L358), L358&gt;0), 1, 0)</f>
        <v>0</v>
      </c>
      <c r="Z358" s="48">
        <v>1</v>
      </c>
      <c r="AA358" s="61" t="s">
        <v>0</v>
      </c>
      <c r="AB358" s="62" t="str">
        <f t="shared" si="401"/>
        <v xml:space="preserve">SplitAirCondPM - Split air conditioning system                        </v>
      </c>
      <c r="AD358" s="218" t="s">
        <v>1100</v>
      </c>
    </row>
    <row r="359" spans="1:30" x14ac:dyDescent="0.25">
      <c r="C359" s="61">
        <f t="shared" ref="C359:D359" si="407">C358</f>
        <v>2025</v>
      </c>
      <c r="D359" s="6">
        <f t="shared" si="407"/>
        <v>2026</v>
      </c>
      <c r="E359" t="s">
        <v>1097</v>
      </c>
      <c r="F359" s="187">
        <v>15</v>
      </c>
      <c r="G359" s="188">
        <v>14.3</v>
      </c>
      <c r="H359" s="188">
        <v>0.95</v>
      </c>
      <c r="I359" s="188">
        <v>12.2</v>
      </c>
      <c r="J359" s="188">
        <v>11.7</v>
      </c>
      <c r="K359" s="188">
        <v>0.96</v>
      </c>
      <c r="L359" s="66" t="s">
        <v>712</v>
      </c>
      <c r="M359" s="66" t="s">
        <v>188</v>
      </c>
      <c r="N359" s="66" t="s">
        <v>189</v>
      </c>
      <c r="O359" s="72">
        <f t="shared" si="403"/>
        <v>1</v>
      </c>
      <c r="P359" s="61">
        <f t="shared" si="403"/>
        <v>1</v>
      </c>
      <c r="Q359" s="61">
        <f t="shared" si="403"/>
        <v>0</v>
      </c>
      <c r="R359" s="61">
        <f t="shared" si="403"/>
        <v>1</v>
      </c>
      <c r="S359" s="92">
        <f t="shared" si="403"/>
        <v>0</v>
      </c>
      <c r="T359" s="75" t="str">
        <f t="shared" si="403"/>
        <v xml:space="preserve">SplitAirCond     </v>
      </c>
      <c r="U359" s="72">
        <f t="shared" si="397"/>
        <v>1</v>
      </c>
      <c r="V359" s="61">
        <f t="shared" si="398"/>
        <v>1</v>
      </c>
      <c r="W359" s="61">
        <f t="shared" si="399"/>
        <v>1</v>
      </c>
      <c r="X359" s="61">
        <f t="shared" si="399"/>
        <v>1</v>
      </c>
      <c r="Y359" s="61">
        <f t="shared" si="400"/>
        <v>0</v>
      </c>
      <c r="Z359" s="48">
        <v>1</v>
      </c>
      <c r="AA359" s="61" t="s">
        <v>0</v>
      </c>
      <c r="AB359" s="62" t="str">
        <f t="shared" si="401"/>
        <v xml:space="preserve">SplitAirCond - Split air conditioning system                        </v>
      </c>
    </row>
    <row r="360" spans="1:30" x14ac:dyDescent="0.25">
      <c r="C360" s="61">
        <f t="shared" ref="C360:D360" si="408">C359</f>
        <v>2025</v>
      </c>
      <c r="D360" s="6">
        <f t="shared" si="408"/>
        <v>2026</v>
      </c>
      <c r="E360" s="176" t="s">
        <v>697</v>
      </c>
      <c r="F360" s="67" t="s">
        <v>154</v>
      </c>
      <c r="G360" s="66" t="s">
        <v>733</v>
      </c>
      <c r="H360" s="66" t="s">
        <v>733</v>
      </c>
      <c r="I360" s="53">
        <v>9.5</v>
      </c>
      <c r="J360" s="190">
        <f>I360*0.96</f>
        <v>9.1199999999999992</v>
      </c>
      <c r="K360" s="188">
        <v>0.96</v>
      </c>
      <c r="L360" s="66" t="s">
        <v>712</v>
      </c>
      <c r="M360" s="66" t="s">
        <v>188</v>
      </c>
      <c r="N360" s="66" t="s">
        <v>189</v>
      </c>
      <c r="O360" s="72">
        <f t="shared" ref="O360:T360" si="409">O318</f>
        <v>1</v>
      </c>
      <c r="P360" s="61">
        <f t="shared" si="409"/>
        <v>0</v>
      </c>
      <c r="Q360" s="61">
        <f t="shared" si="409"/>
        <v>0</v>
      </c>
      <c r="R360" s="61">
        <f t="shared" si="409"/>
        <v>0</v>
      </c>
      <c r="S360" s="92">
        <f t="shared" si="409"/>
        <v>0</v>
      </c>
      <c r="T360" s="75" t="str">
        <f t="shared" si="409"/>
        <v xml:space="preserve">SplitAirCond     </v>
      </c>
      <c r="U360" s="72">
        <f t="shared" si="397"/>
        <v>0</v>
      </c>
      <c r="V360" s="61">
        <f t="shared" si="398"/>
        <v>0</v>
      </c>
      <c r="W360" s="61">
        <f t="shared" ref="W360:W370" si="410">IF(AND(ISNUMBER(I360), I360&gt;0), 1, 0)</f>
        <v>1</v>
      </c>
      <c r="X360" s="61">
        <f t="shared" ref="X360:X398" si="411">IF(AND(ISNUMBER(J360), J360&gt;0), 1, 0)</f>
        <v>1</v>
      </c>
      <c r="Y360" s="61">
        <f t="shared" si="400"/>
        <v>0</v>
      </c>
      <c r="Z360" s="48">
        <v>1</v>
      </c>
      <c r="AA360" s="61" t="s">
        <v>0</v>
      </c>
      <c r="AB360" s="62" t="str">
        <f t="shared" si="401"/>
        <v>PkgTermAirCond - Packaged terminal air conditioner (PTAC)</v>
      </c>
    </row>
    <row r="361" spans="1:30" x14ac:dyDescent="0.25">
      <c r="C361" s="61">
        <f t="shared" ref="C361:D361" si="412">C360</f>
        <v>2025</v>
      </c>
      <c r="D361" s="6">
        <f t="shared" si="412"/>
        <v>2026</v>
      </c>
      <c r="E361" s="176" t="s">
        <v>698</v>
      </c>
      <c r="F361" s="67" t="s">
        <v>154</v>
      </c>
      <c r="G361" s="66" t="s">
        <v>733</v>
      </c>
      <c r="H361" s="66" t="s">
        <v>733</v>
      </c>
      <c r="I361" s="188">
        <v>11</v>
      </c>
      <c r="J361" s="188">
        <v>10.6</v>
      </c>
      <c r="K361" s="188">
        <v>0.96</v>
      </c>
      <c r="L361" s="66" t="s">
        <v>712</v>
      </c>
      <c r="M361" s="66" t="s">
        <v>188</v>
      </c>
      <c r="N361" s="66" t="s">
        <v>189</v>
      </c>
      <c r="O361" s="72">
        <f t="shared" ref="O361:T361" si="413">O319</f>
        <v>1</v>
      </c>
      <c r="P361" s="61">
        <f t="shared" si="413"/>
        <v>1</v>
      </c>
      <c r="Q361" s="61">
        <f t="shared" si="413"/>
        <v>0</v>
      </c>
      <c r="R361" s="61">
        <f t="shared" si="413"/>
        <v>0</v>
      </c>
      <c r="S361" s="92">
        <f t="shared" si="413"/>
        <v>0</v>
      </c>
      <c r="T361" s="75" t="str">
        <f t="shared" si="413"/>
        <v xml:space="preserve">SplitAirCond     </v>
      </c>
      <c r="U361" s="72">
        <f t="shared" si="397"/>
        <v>0</v>
      </c>
      <c r="V361" s="61">
        <f t="shared" si="398"/>
        <v>0</v>
      </c>
      <c r="W361" s="61">
        <f t="shared" si="410"/>
        <v>1</v>
      </c>
      <c r="X361" s="61">
        <f t="shared" si="411"/>
        <v>1</v>
      </c>
      <c r="Y361" s="61">
        <f t="shared" si="400"/>
        <v>0</v>
      </c>
      <c r="Z361" s="48">
        <v>1</v>
      </c>
      <c r="AA361" s="61" t="s">
        <v>0</v>
      </c>
      <c r="AB361" s="62" t="str">
        <f t="shared" si="401"/>
        <v>SglPkgVertAirCond - Single package vertical A/C system</v>
      </c>
    </row>
    <row r="362" spans="1:30" x14ac:dyDescent="0.25">
      <c r="C362" s="61">
        <f t="shared" ref="C362:D362" si="414">C361</f>
        <v>2025</v>
      </c>
      <c r="D362" s="6">
        <f t="shared" si="414"/>
        <v>2026</v>
      </c>
      <c r="E362" t="s">
        <v>175</v>
      </c>
      <c r="F362" s="187">
        <v>14</v>
      </c>
      <c r="G362" s="188">
        <v>13.4</v>
      </c>
      <c r="H362" s="188">
        <v>0.96</v>
      </c>
      <c r="I362" s="188">
        <v>11</v>
      </c>
      <c r="J362" s="188">
        <v>10.6</v>
      </c>
      <c r="K362" s="188">
        <v>0.96</v>
      </c>
      <c r="L362" s="66" t="s">
        <v>712</v>
      </c>
      <c r="M362" s="66" t="s">
        <v>188</v>
      </c>
      <c r="N362" s="66" t="s">
        <v>189</v>
      </c>
      <c r="O362" s="72">
        <f t="shared" ref="O362:T362" si="415">O320</f>
        <v>1</v>
      </c>
      <c r="P362" s="61">
        <f t="shared" si="415"/>
        <v>1</v>
      </c>
      <c r="Q362" s="61">
        <f t="shared" si="415"/>
        <v>0</v>
      </c>
      <c r="R362" s="61">
        <f t="shared" si="415"/>
        <v>1</v>
      </c>
      <c r="S362" s="92">
        <f t="shared" si="415"/>
        <v>0</v>
      </c>
      <c r="T362" s="75" t="str">
        <f t="shared" si="415"/>
        <v xml:space="preserve">SplitAirCond     </v>
      </c>
      <c r="U362" s="72">
        <f t="shared" si="397"/>
        <v>1</v>
      </c>
      <c r="V362" s="61">
        <f t="shared" si="398"/>
        <v>1</v>
      </c>
      <c r="W362" s="61">
        <f t="shared" si="410"/>
        <v>1</v>
      </c>
      <c r="X362" s="61">
        <f t="shared" si="411"/>
        <v>1</v>
      </c>
      <c r="Y362" s="61">
        <f t="shared" si="400"/>
        <v>0</v>
      </c>
      <c r="Z362" s="48">
        <v>1</v>
      </c>
      <c r="AA362" s="61" t="s">
        <v>0</v>
      </c>
      <c r="AB362" s="62" t="str">
        <f t="shared" si="401"/>
        <v xml:space="preserve">PkgAirCond - Central packaged A/C system (&lt; 65 kBtuh)               </v>
      </c>
    </row>
    <row r="363" spans="1:30" x14ac:dyDescent="0.25">
      <c r="C363" s="61">
        <f t="shared" ref="C363:D363" si="416">C362</f>
        <v>2025</v>
      </c>
      <c r="D363" s="6">
        <f t="shared" si="416"/>
        <v>2026</v>
      </c>
      <c r="E363" t="s">
        <v>176</v>
      </c>
      <c r="F363" s="51">
        <v>13</v>
      </c>
      <c r="G363" s="190">
        <f>F363*0.96</f>
        <v>12.48</v>
      </c>
      <c r="H363" s="193">
        <v>0.96</v>
      </c>
      <c r="I363" s="11">
        <v>0</v>
      </c>
      <c r="J363" s="11">
        <v>0</v>
      </c>
      <c r="K363" s="11">
        <v>1</v>
      </c>
      <c r="L363" s="66" t="s">
        <v>712</v>
      </c>
      <c r="M363" s="66" t="s">
        <v>188</v>
      </c>
      <c r="N363" s="66" t="s">
        <v>189</v>
      </c>
      <c r="O363" s="72">
        <f t="shared" ref="O363:T363" si="417">O321</f>
        <v>0</v>
      </c>
      <c r="P363" s="61">
        <f t="shared" si="417"/>
        <v>1</v>
      </c>
      <c r="Q363" s="61">
        <f t="shared" si="417"/>
        <v>0</v>
      </c>
      <c r="R363" s="61">
        <f t="shared" si="417"/>
        <v>1</v>
      </c>
      <c r="S363" s="92">
        <f t="shared" si="417"/>
        <v>0</v>
      </c>
      <c r="T363" s="75" t="str">
        <f t="shared" si="417"/>
        <v xml:space="preserve">SplitAirCond     </v>
      </c>
      <c r="U363" s="72">
        <f t="shared" si="397"/>
        <v>1</v>
      </c>
      <c r="V363" s="61">
        <f t="shared" si="398"/>
        <v>1</v>
      </c>
      <c r="W363" s="61">
        <f t="shared" si="410"/>
        <v>0</v>
      </c>
      <c r="X363" s="61">
        <f t="shared" si="411"/>
        <v>0</v>
      </c>
      <c r="Y363" s="61">
        <f t="shared" si="400"/>
        <v>0</v>
      </c>
      <c r="Z363" s="48">
        <v>1</v>
      </c>
      <c r="AA363" s="61" t="s">
        <v>0</v>
      </c>
      <c r="AB363" s="62" t="str">
        <f t="shared" si="401"/>
        <v xml:space="preserve">LrgPkgAirCond - Large packaged A/C system (&gt;= 65 kBtuh)             </v>
      </c>
    </row>
    <row r="364" spans="1:30" x14ac:dyDescent="0.25">
      <c r="C364" s="61">
        <f t="shared" ref="C364:D364" si="418">C363</f>
        <v>2025</v>
      </c>
      <c r="D364" s="6">
        <f t="shared" si="418"/>
        <v>2026</v>
      </c>
      <c r="E364" t="s">
        <v>515</v>
      </c>
      <c r="F364" s="51">
        <v>12</v>
      </c>
      <c r="G364" s="191">
        <v>12</v>
      </c>
      <c r="H364" s="191">
        <v>1</v>
      </c>
      <c r="I364" s="149">
        <v>10</v>
      </c>
      <c r="J364" s="190">
        <f>I364*0.96</f>
        <v>9.6</v>
      </c>
      <c r="K364" s="188">
        <v>0.96</v>
      </c>
      <c r="L364" s="66" t="s">
        <v>712</v>
      </c>
      <c r="M364" s="66" t="s">
        <v>188</v>
      </c>
      <c r="N364" s="66" t="s">
        <v>189</v>
      </c>
      <c r="O364" s="72">
        <f t="shared" ref="O364:T364" si="419">O322</f>
        <v>1</v>
      </c>
      <c r="P364" s="61">
        <f t="shared" si="419"/>
        <v>1</v>
      </c>
      <c r="Q364" s="61">
        <f t="shared" si="419"/>
        <v>0</v>
      </c>
      <c r="R364" s="61">
        <f t="shared" si="419"/>
        <v>1</v>
      </c>
      <c r="S364" s="92">
        <f t="shared" si="419"/>
        <v>0</v>
      </c>
      <c r="T364" s="75" t="str">
        <f t="shared" si="419"/>
        <v xml:space="preserve">SplitAirCond     </v>
      </c>
      <c r="U364" s="72">
        <f t="shared" si="397"/>
        <v>1</v>
      </c>
      <c r="V364" s="61">
        <f t="shared" si="398"/>
        <v>1</v>
      </c>
      <c r="W364" s="61">
        <f t="shared" si="410"/>
        <v>1</v>
      </c>
      <c r="X364" s="61">
        <f t="shared" si="411"/>
        <v>1</v>
      </c>
      <c r="Y364" s="61">
        <f t="shared" si="400"/>
        <v>0</v>
      </c>
      <c r="Z364" s="48">
        <v>1</v>
      </c>
      <c r="AA364" s="61" t="s">
        <v>0</v>
      </c>
      <c r="AB364" s="62" t="str">
        <f t="shared" si="401"/>
        <v xml:space="preserve">SDHVSplitAirCond - Small duct, high velocity, split A/C system                        </v>
      </c>
    </row>
    <row r="365" spans="1:30" x14ac:dyDescent="0.25">
      <c r="C365" s="61">
        <f t="shared" ref="C365:D365" si="420">C364</f>
        <v>2025</v>
      </c>
      <c r="D365" s="6">
        <f t="shared" si="420"/>
        <v>2026</v>
      </c>
      <c r="E365" t="s">
        <v>526</v>
      </c>
      <c r="F365" s="187">
        <v>15</v>
      </c>
      <c r="G365" s="188">
        <v>14.3</v>
      </c>
      <c r="H365" s="188">
        <v>0.95</v>
      </c>
      <c r="I365" s="188">
        <v>12.2</v>
      </c>
      <c r="J365" s="188">
        <v>11.7</v>
      </c>
      <c r="K365" s="188">
        <v>0.96</v>
      </c>
      <c r="L365" s="66" t="s">
        <v>712</v>
      </c>
      <c r="M365" s="66" t="s">
        <v>188</v>
      </c>
      <c r="N365" s="66" t="s">
        <v>189</v>
      </c>
      <c r="O365" s="72">
        <f t="shared" ref="O365:T365" si="421">O323</f>
        <v>1</v>
      </c>
      <c r="P365" s="61">
        <f t="shared" si="421"/>
        <v>0</v>
      </c>
      <c r="Q365" s="61">
        <f t="shared" si="421"/>
        <v>0</v>
      </c>
      <c r="R365" s="61">
        <f t="shared" si="421"/>
        <v>1</v>
      </c>
      <c r="S365" s="92">
        <f t="shared" si="421"/>
        <v>1</v>
      </c>
      <c r="T365" s="75" t="str">
        <f t="shared" si="421"/>
        <v xml:space="preserve">SplitAirCond     </v>
      </c>
      <c r="U365" s="72">
        <f t="shared" si="397"/>
        <v>1</v>
      </c>
      <c r="V365" s="61">
        <f t="shared" si="398"/>
        <v>1</v>
      </c>
      <c r="W365" s="61">
        <f t="shared" si="410"/>
        <v>1</v>
      </c>
      <c r="X365" s="61">
        <f t="shared" si="411"/>
        <v>1</v>
      </c>
      <c r="Y365" s="61">
        <f t="shared" si="400"/>
        <v>0</v>
      </c>
      <c r="Z365" s="48">
        <v>1</v>
      </c>
      <c r="AA365" s="61" t="s">
        <v>0</v>
      </c>
      <c r="AB365" s="62" t="str">
        <f t="shared" si="401"/>
        <v>DuctlessMiniSplitAirCond – Ductless mini-split A/C system</v>
      </c>
    </row>
    <row r="366" spans="1:30" x14ac:dyDescent="0.25">
      <c r="C366" s="61">
        <f t="shared" ref="C366:D366" si="422">C365</f>
        <v>2025</v>
      </c>
      <c r="D366" s="6">
        <f t="shared" si="422"/>
        <v>2026</v>
      </c>
      <c r="E366" t="s">
        <v>527</v>
      </c>
      <c r="F366" s="187">
        <v>15</v>
      </c>
      <c r="G366" s="188">
        <v>14.3</v>
      </c>
      <c r="H366" s="188">
        <v>0.95</v>
      </c>
      <c r="I366" s="188">
        <v>12.2</v>
      </c>
      <c r="J366" s="188">
        <v>11.7</v>
      </c>
      <c r="K366" s="188">
        <v>0.96</v>
      </c>
      <c r="L366" s="66" t="s">
        <v>712</v>
      </c>
      <c r="M366" s="66" t="s">
        <v>188</v>
      </c>
      <c r="N366" s="66" t="s">
        <v>189</v>
      </c>
      <c r="O366" s="72">
        <f t="shared" ref="O366:T366" si="423">O324</f>
        <v>1</v>
      </c>
      <c r="P366" s="61">
        <f t="shared" si="423"/>
        <v>0</v>
      </c>
      <c r="Q366" s="61">
        <f t="shared" si="423"/>
        <v>0</v>
      </c>
      <c r="R366" s="61">
        <f t="shared" si="423"/>
        <v>1</v>
      </c>
      <c r="S366" s="92">
        <f t="shared" si="423"/>
        <v>1</v>
      </c>
      <c r="T366" s="75" t="str">
        <f t="shared" si="423"/>
        <v xml:space="preserve">SplitAirCond     </v>
      </c>
      <c r="U366" s="72">
        <f t="shared" si="397"/>
        <v>1</v>
      </c>
      <c r="V366" s="61">
        <f t="shared" si="398"/>
        <v>1</v>
      </c>
      <c r="W366" s="61">
        <f t="shared" si="410"/>
        <v>1</v>
      </c>
      <c r="X366" s="61">
        <f t="shared" si="411"/>
        <v>1</v>
      </c>
      <c r="Y366" s="61">
        <f t="shared" si="400"/>
        <v>0</v>
      </c>
      <c r="Z366" s="48">
        <v>1</v>
      </c>
      <c r="AA366" s="61" t="s">
        <v>0</v>
      </c>
      <c r="AB366" s="62" t="str">
        <f t="shared" si="401"/>
        <v>DuctlessMultiSplitAirCond - Ductless multi-split A/C system</v>
      </c>
    </row>
    <row r="367" spans="1:30" x14ac:dyDescent="0.25">
      <c r="C367" s="61">
        <f t="shared" ref="C367:D367" si="424">C366</f>
        <v>2025</v>
      </c>
      <c r="D367" s="6">
        <f t="shared" si="424"/>
        <v>2026</v>
      </c>
      <c r="E367" t="s">
        <v>523</v>
      </c>
      <c r="F367" s="51">
        <v>13</v>
      </c>
      <c r="G367" s="189">
        <f>F367*0.96</f>
        <v>12.48</v>
      </c>
      <c r="H367" s="193">
        <v>0.96</v>
      </c>
      <c r="I367" s="11">
        <v>11.3</v>
      </c>
      <c r="J367" s="190">
        <f>I367*0.96</f>
        <v>10.848000000000001</v>
      </c>
      <c r="K367" s="188">
        <v>0.96</v>
      </c>
      <c r="L367" s="66" t="s">
        <v>712</v>
      </c>
      <c r="M367" s="66" t="s">
        <v>188</v>
      </c>
      <c r="N367" s="66" t="s">
        <v>189</v>
      </c>
      <c r="O367" s="72">
        <f t="shared" ref="O367:T367" si="425">O325</f>
        <v>1</v>
      </c>
      <c r="P367" s="61">
        <f t="shared" si="425"/>
        <v>0</v>
      </c>
      <c r="Q367" s="61">
        <f t="shared" si="425"/>
        <v>0</v>
      </c>
      <c r="R367" s="61">
        <f t="shared" si="425"/>
        <v>1</v>
      </c>
      <c r="S367" s="92">
        <f t="shared" si="425"/>
        <v>1</v>
      </c>
      <c r="T367" s="75" t="str">
        <f t="shared" si="425"/>
        <v xml:space="preserve">SplitAirCond     </v>
      </c>
      <c r="U367" s="72">
        <f t="shared" si="397"/>
        <v>1</v>
      </c>
      <c r="V367" s="61">
        <f t="shared" si="398"/>
        <v>1</v>
      </c>
      <c r="W367" s="61">
        <f t="shared" si="410"/>
        <v>1</v>
      </c>
      <c r="X367" s="61">
        <f t="shared" si="411"/>
        <v>1</v>
      </c>
      <c r="Y367" s="61">
        <f t="shared" si="400"/>
        <v>0</v>
      </c>
      <c r="Z367" s="48">
        <v>1</v>
      </c>
      <c r="AA367" s="61" t="s">
        <v>0</v>
      </c>
      <c r="AB367" s="62" t="str">
        <f t="shared" si="401"/>
        <v>DuctlessVRFAirCond - Ductless variable refrigerant flow (VRF) A/C system</v>
      </c>
    </row>
    <row r="368" spans="1:30" x14ac:dyDescent="0.25">
      <c r="C368" s="61">
        <f t="shared" ref="C368:D368" si="426">C367</f>
        <v>2025</v>
      </c>
      <c r="D368" s="6">
        <f t="shared" si="426"/>
        <v>2026</v>
      </c>
      <c r="E368" s="176" t="s">
        <v>699</v>
      </c>
      <c r="F368" s="187">
        <v>15</v>
      </c>
      <c r="G368" s="188">
        <v>14.3</v>
      </c>
      <c r="H368" s="188">
        <v>0.95</v>
      </c>
      <c r="I368" s="188">
        <v>12.2</v>
      </c>
      <c r="J368" s="188">
        <v>11.7</v>
      </c>
      <c r="K368" s="188">
        <v>0.96</v>
      </c>
      <c r="L368" s="66" t="s">
        <v>712</v>
      </c>
      <c r="M368" s="66" t="s">
        <v>188</v>
      </c>
      <c r="N368" s="66" t="s">
        <v>189</v>
      </c>
      <c r="O368" s="72">
        <f t="shared" ref="O368:T368" si="427">O326</f>
        <v>1</v>
      </c>
      <c r="P368" s="61">
        <f t="shared" si="427"/>
        <v>1</v>
      </c>
      <c r="Q368" s="61">
        <f t="shared" si="427"/>
        <v>0</v>
      </c>
      <c r="R368" s="61">
        <f t="shared" si="427"/>
        <v>1</v>
      </c>
      <c r="S368" s="92">
        <f t="shared" si="427"/>
        <v>1</v>
      </c>
      <c r="T368" s="75" t="str">
        <f t="shared" si="427"/>
        <v xml:space="preserve">SplitAirCond     </v>
      </c>
      <c r="U368" s="72">
        <f t="shared" si="397"/>
        <v>1</v>
      </c>
      <c r="V368" s="61">
        <f t="shared" si="398"/>
        <v>1</v>
      </c>
      <c r="W368" s="61">
        <f t="shared" si="410"/>
        <v>1</v>
      </c>
      <c r="X368" s="61">
        <f t="shared" si="411"/>
        <v>1</v>
      </c>
      <c r="Y368" s="61">
        <f t="shared" si="400"/>
        <v>0</v>
      </c>
      <c r="Z368" s="48">
        <v>1</v>
      </c>
      <c r="AA368" s="61" t="s">
        <v>0</v>
      </c>
      <c r="AB368" s="62" t="str">
        <f t="shared" si="401"/>
        <v>DuctedMiniSplitAirCond - Ducted mini-split A/C system</v>
      </c>
    </row>
    <row r="369" spans="1:28" x14ac:dyDescent="0.25">
      <c r="C369" s="61">
        <f t="shared" ref="C369:D369" si="428">C368</f>
        <v>2025</v>
      </c>
      <c r="D369" s="6">
        <f t="shared" si="428"/>
        <v>2026</v>
      </c>
      <c r="E369" s="176" t="s">
        <v>700</v>
      </c>
      <c r="F369" s="187">
        <v>15</v>
      </c>
      <c r="G369" s="188">
        <v>14.3</v>
      </c>
      <c r="H369" s="188">
        <v>0.95</v>
      </c>
      <c r="I369" s="188">
        <v>12.2</v>
      </c>
      <c r="J369" s="188">
        <v>11.7</v>
      </c>
      <c r="K369" s="188">
        <v>0.96</v>
      </c>
      <c r="L369" s="66" t="s">
        <v>712</v>
      </c>
      <c r="M369" s="66" t="s">
        <v>188</v>
      </c>
      <c r="N369" s="66" t="s">
        <v>189</v>
      </c>
      <c r="O369" s="72">
        <f t="shared" ref="O369:T369" si="429">O327</f>
        <v>1</v>
      </c>
      <c r="P369" s="61">
        <f t="shared" si="429"/>
        <v>1</v>
      </c>
      <c r="Q369" s="61">
        <f t="shared" si="429"/>
        <v>0</v>
      </c>
      <c r="R369" s="61">
        <f t="shared" si="429"/>
        <v>1</v>
      </c>
      <c r="S369" s="92">
        <f t="shared" si="429"/>
        <v>1</v>
      </c>
      <c r="T369" s="75" t="str">
        <f t="shared" si="429"/>
        <v xml:space="preserve">SplitAirCond     </v>
      </c>
      <c r="U369" s="72">
        <f t="shared" si="397"/>
        <v>1</v>
      </c>
      <c r="V369" s="61">
        <f t="shared" si="398"/>
        <v>1</v>
      </c>
      <c r="W369" s="61">
        <f t="shared" si="410"/>
        <v>1</v>
      </c>
      <c r="X369" s="61">
        <f t="shared" si="411"/>
        <v>1</v>
      </c>
      <c r="Y369" s="61">
        <f t="shared" si="400"/>
        <v>0</v>
      </c>
      <c r="Z369" s="48">
        <v>1</v>
      </c>
      <c r="AA369" s="61" t="s">
        <v>0</v>
      </c>
      <c r="AB369" s="62" t="str">
        <f t="shared" si="401"/>
        <v>DuctedMultiSplitAirCond - Ducted multi-split A/C system</v>
      </c>
    </row>
    <row r="370" spans="1:28" x14ac:dyDescent="0.25">
      <c r="C370" s="61">
        <f t="shared" ref="C370:D370" si="430">C369</f>
        <v>2025</v>
      </c>
      <c r="D370" s="6">
        <f t="shared" si="430"/>
        <v>2026</v>
      </c>
      <c r="E370" s="176" t="s">
        <v>701</v>
      </c>
      <c r="F370" s="187">
        <v>15</v>
      </c>
      <c r="G370" s="188">
        <v>14.3</v>
      </c>
      <c r="H370" s="188">
        <v>0.95</v>
      </c>
      <c r="I370" s="188">
        <v>12.2</v>
      </c>
      <c r="J370" s="188">
        <v>11.7</v>
      </c>
      <c r="K370" s="188">
        <v>0.96</v>
      </c>
      <c r="L370" s="66" t="s">
        <v>712</v>
      </c>
      <c r="M370" s="66" t="s">
        <v>188</v>
      </c>
      <c r="N370" s="66" t="s">
        <v>189</v>
      </c>
      <c r="O370" s="72">
        <f t="shared" ref="O370:T370" si="431">O328</f>
        <v>1</v>
      </c>
      <c r="P370" s="61">
        <f t="shared" si="431"/>
        <v>1</v>
      </c>
      <c r="Q370" s="61">
        <f t="shared" si="431"/>
        <v>0</v>
      </c>
      <c r="R370" s="61">
        <f t="shared" si="431"/>
        <v>1</v>
      </c>
      <c r="S370" s="92">
        <f t="shared" si="431"/>
        <v>1</v>
      </c>
      <c r="T370" s="75" t="str">
        <f t="shared" si="431"/>
        <v xml:space="preserve">SplitAirCond     </v>
      </c>
      <c r="U370" s="72">
        <f t="shared" si="397"/>
        <v>1</v>
      </c>
      <c r="V370" s="61">
        <f t="shared" si="398"/>
        <v>1</v>
      </c>
      <c r="W370" s="61">
        <f t="shared" si="410"/>
        <v>1</v>
      </c>
      <c r="X370" s="61">
        <f t="shared" si="411"/>
        <v>1</v>
      </c>
      <c r="Y370" s="61">
        <f t="shared" si="400"/>
        <v>0</v>
      </c>
      <c r="Z370" s="48">
        <v>1</v>
      </c>
      <c r="AA370" s="61" t="s">
        <v>0</v>
      </c>
      <c r="AB370" s="62" t="str">
        <f t="shared" si="401"/>
        <v>Ducted+DuctlessMultiSplitAirCond - Ducted+ductless multi-split A/C system</v>
      </c>
    </row>
    <row r="371" spans="1:28" x14ac:dyDescent="0.25">
      <c r="C371" s="61">
        <f t="shared" ref="C371:D371" si="432">C370</f>
        <v>2025</v>
      </c>
      <c r="D371" s="6">
        <f t="shared" si="432"/>
        <v>2026</v>
      </c>
      <c r="E371" t="s">
        <v>177</v>
      </c>
      <c r="F371" s="67" t="s">
        <v>154</v>
      </c>
      <c r="G371" s="66" t="s">
        <v>733</v>
      </c>
      <c r="H371" s="66" t="s">
        <v>733</v>
      </c>
      <c r="I371" s="66" t="s">
        <v>155</v>
      </c>
      <c r="J371" s="66" t="s">
        <v>734</v>
      </c>
      <c r="K371" s="66" t="s">
        <v>734</v>
      </c>
      <c r="L371" s="10">
        <v>9</v>
      </c>
      <c r="M371" s="66" t="s">
        <v>188</v>
      </c>
      <c r="N371" s="66" t="s">
        <v>189</v>
      </c>
      <c r="O371" s="72">
        <f t="shared" ref="O371:T371" si="433">O329</f>
        <v>1</v>
      </c>
      <c r="P371" s="61">
        <f t="shared" si="433"/>
        <v>0</v>
      </c>
      <c r="Q371" s="61">
        <f t="shared" si="433"/>
        <v>0</v>
      </c>
      <c r="R371" s="61">
        <f t="shared" si="433"/>
        <v>0</v>
      </c>
      <c r="S371" s="92">
        <f t="shared" si="433"/>
        <v>1</v>
      </c>
      <c r="T371" s="75" t="str">
        <f t="shared" si="433"/>
        <v xml:space="preserve">SplitAirCond     </v>
      </c>
      <c r="U371" s="72">
        <f t="shared" si="397"/>
        <v>0</v>
      </c>
      <c r="V371" s="61">
        <f t="shared" si="398"/>
        <v>0</v>
      </c>
      <c r="W371" s="61">
        <f>IF(AND(ISNUMBER(I371), I371&gt;0), 1, 0)</f>
        <v>0</v>
      </c>
      <c r="X371" s="61">
        <f t="shared" si="411"/>
        <v>0</v>
      </c>
      <c r="Y371" s="61">
        <f t="shared" si="400"/>
        <v>1</v>
      </c>
      <c r="Z371" s="48">
        <v>0</v>
      </c>
      <c r="AA371" s="61" t="s">
        <v>0</v>
      </c>
      <c r="AB371" s="62" t="str">
        <f t="shared" si="401"/>
        <v xml:space="preserve">RoomAirCond - Non-central room A/C system                           </v>
      </c>
    </row>
    <row r="372" spans="1:28" x14ac:dyDescent="0.25">
      <c r="C372" s="61">
        <f t="shared" ref="C372:D372" si="434">C371</f>
        <v>2025</v>
      </c>
      <c r="D372" s="6">
        <f t="shared" si="434"/>
        <v>2026</v>
      </c>
      <c r="E372" t="s">
        <v>178</v>
      </c>
      <c r="F372" s="187">
        <v>15</v>
      </c>
      <c r="G372" s="188">
        <v>14.3</v>
      </c>
      <c r="H372" s="188">
        <v>0.95</v>
      </c>
      <c r="I372" s="188">
        <v>12.2</v>
      </c>
      <c r="J372" s="188">
        <v>11.7</v>
      </c>
      <c r="K372" s="188">
        <v>0.96</v>
      </c>
      <c r="L372" s="66" t="s">
        <v>712</v>
      </c>
      <c r="M372" s="66" t="s">
        <v>188</v>
      </c>
      <c r="N372" s="66" t="s">
        <v>189</v>
      </c>
      <c r="O372" s="72">
        <f t="shared" ref="O372:T372" si="435">O330</f>
        <v>1</v>
      </c>
      <c r="P372" s="61">
        <f t="shared" si="435"/>
        <v>1</v>
      </c>
      <c r="Q372" s="61">
        <f t="shared" si="435"/>
        <v>1</v>
      </c>
      <c r="R372" s="226">
        <v>0</v>
      </c>
      <c r="S372" s="92">
        <f t="shared" si="435"/>
        <v>0</v>
      </c>
      <c r="T372" s="75" t="str">
        <f t="shared" si="435"/>
        <v xml:space="preserve">SplitHeatPump    </v>
      </c>
      <c r="U372" s="72">
        <f t="shared" si="397"/>
        <v>1</v>
      </c>
      <c r="V372" s="61">
        <f t="shared" si="398"/>
        <v>1</v>
      </c>
      <c r="W372" s="61">
        <f>IF(AND(ISNUMBER(I372), I372&gt;0), 1, 0)</f>
        <v>1</v>
      </c>
      <c r="X372" s="61">
        <f t="shared" si="411"/>
        <v>1</v>
      </c>
      <c r="Y372" s="61">
        <f t="shared" si="400"/>
        <v>0</v>
      </c>
      <c r="Z372" s="48">
        <v>1</v>
      </c>
      <c r="AA372" s="61" t="s">
        <v>0</v>
      </c>
      <c r="AB372" s="62" t="str">
        <f t="shared" si="401"/>
        <v xml:space="preserve">SplitHeatPump - Split heat pump system                              </v>
      </c>
    </row>
    <row r="373" spans="1:28" x14ac:dyDescent="0.25">
      <c r="C373" s="61">
        <f t="shared" ref="C373:D373" si="436">C372</f>
        <v>2025</v>
      </c>
      <c r="D373" s="6">
        <f t="shared" si="436"/>
        <v>2026</v>
      </c>
      <c r="E373" s="176" t="s">
        <v>682</v>
      </c>
      <c r="F373" s="67" t="s">
        <v>154</v>
      </c>
      <c r="G373" s="66" t="s">
        <v>733</v>
      </c>
      <c r="H373" s="66" t="s">
        <v>733</v>
      </c>
      <c r="I373" s="53">
        <v>9.5</v>
      </c>
      <c r="J373" s="190">
        <f>I373*0.96</f>
        <v>9.1199999999999992</v>
      </c>
      <c r="K373" s="188">
        <v>0.96</v>
      </c>
      <c r="L373" s="66" t="s">
        <v>712</v>
      </c>
      <c r="M373" s="66" t="s">
        <v>188</v>
      </c>
      <c r="N373" s="66" t="s">
        <v>189</v>
      </c>
      <c r="O373" s="72">
        <f t="shared" ref="O373:T373" si="437">O331</f>
        <v>1</v>
      </c>
      <c r="P373" s="61">
        <f t="shared" si="437"/>
        <v>0</v>
      </c>
      <c r="Q373" s="61">
        <f t="shared" si="437"/>
        <v>1</v>
      </c>
      <c r="R373" s="61">
        <f t="shared" si="437"/>
        <v>0</v>
      </c>
      <c r="S373" s="92">
        <f t="shared" si="437"/>
        <v>0</v>
      </c>
      <c r="T373" s="75" t="str">
        <f t="shared" si="437"/>
        <v xml:space="preserve">SplitHeatPump    </v>
      </c>
      <c r="U373" s="72">
        <f t="shared" si="397"/>
        <v>0</v>
      </c>
      <c r="V373" s="61">
        <f t="shared" si="398"/>
        <v>0</v>
      </c>
      <c r="W373" s="61">
        <f t="shared" ref="W373:W398" si="438">IF(AND(ISNUMBER(I373), I373&gt;0), 1, 0)</f>
        <v>1</v>
      </c>
      <c r="X373" s="61">
        <f t="shared" si="411"/>
        <v>1</v>
      </c>
      <c r="Y373" s="61">
        <f t="shared" si="400"/>
        <v>0</v>
      </c>
      <c r="Z373" s="48">
        <v>1</v>
      </c>
      <c r="AA373" s="61" t="s">
        <v>0</v>
      </c>
      <c r="AB373" s="62" t="str">
        <f t="shared" si="401"/>
        <v>PkgTermHeatPump - Packaged terminal heat pump (PTHP)</v>
      </c>
    </row>
    <row r="374" spans="1:28" x14ac:dyDescent="0.25">
      <c r="C374" s="61">
        <f t="shared" ref="C374:D374" si="439">C373</f>
        <v>2025</v>
      </c>
      <c r="D374" s="6">
        <f t="shared" si="439"/>
        <v>2026</v>
      </c>
      <c r="E374" s="176" t="s">
        <v>683</v>
      </c>
      <c r="F374" s="67" t="s">
        <v>154</v>
      </c>
      <c r="G374" s="66" t="s">
        <v>733</v>
      </c>
      <c r="H374" s="66" t="s">
        <v>733</v>
      </c>
      <c r="I374" s="53">
        <v>11</v>
      </c>
      <c r="J374" s="190">
        <f>I374*0.96</f>
        <v>10.559999999999999</v>
      </c>
      <c r="K374" s="188">
        <v>0.96</v>
      </c>
      <c r="L374" s="66" t="s">
        <v>712</v>
      </c>
      <c r="M374" s="66" t="s">
        <v>188</v>
      </c>
      <c r="N374" s="66" t="s">
        <v>189</v>
      </c>
      <c r="O374" s="72">
        <f t="shared" ref="O374:T374" si="440">O332</f>
        <v>1</v>
      </c>
      <c r="P374" s="61">
        <f t="shared" si="440"/>
        <v>1</v>
      </c>
      <c r="Q374" s="61">
        <f t="shared" si="440"/>
        <v>1</v>
      </c>
      <c r="R374" s="61">
        <f t="shared" si="440"/>
        <v>0</v>
      </c>
      <c r="S374" s="92">
        <f t="shared" si="440"/>
        <v>0</v>
      </c>
      <c r="T374" s="75" t="str">
        <f t="shared" si="440"/>
        <v xml:space="preserve">SplitHeatPump    </v>
      </c>
      <c r="U374" s="72">
        <f t="shared" si="397"/>
        <v>0</v>
      </c>
      <c r="V374" s="61">
        <f t="shared" si="398"/>
        <v>0</v>
      </c>
      <c r="W374" s="61">
        <f t="shared" si="438"/>
        <v>1</v>
      </c>
      <c r="X374" s="61">
        <f t="shared" si="411"/>
        <v>1</v>
      </c>
      <c r="Y374" s="61">
        <f t="shared" si="400"/>
        <v>0</v>
      </c>
      <c r="Z374" s="48">
        <v>1</v>
      </c>
      <c r="AA374" s="61" t="s">
        <v>0</v>
      </c>
      <c r="AB374" s="62" t="str">
        <f t="shared" si="401"/>
        <v>SglPkgVertHeatPump - Single package vertical heat pump</v>
      </c>
    </row>
    <row r="375" spans="1:28" x14ac:dyDescent="0.25">
      <c r="C375" s="61">
        <f t="shared" ref="C375:D375" si="441">C374</f>
        <v>2025</v>
      </c>
      <c r="D375" s="6">
        <f t="shared" si="441"/>
        <v>2026</v>
      </c>
      <c r="E375" t="s">
        <v>179</v>
      </c>
      <c r="F375" s="187">
        <v>15</v>
      </c>
      <c r="G375" s="188">
        <v>14.3</v>
      </c>
      <c r="H375" s="188">
        <v>0.95</v>
      </c>
      <c r="I375" s="188">
        <v>12.2</v>
      </c>
      <c r="J375" s="188">
        <v>11.7</v>
      </c>
      <c r="K375" s="188">
        <v>0.96</v>
      </c>
      <c r="L375" s="66" t="s">
        <v>712</v>
      </c>
      <c r="M375" s="66" t="s">
        <v>188</v>
      </c>
      <c r="N375" s="66" t="s">
        <v>189</v>
      </c>
      <c r="O375" s="72">
        <f t="shared" ref="O375:T375" si="442">O333</f>
        <v>1</v>
      </c>
      <c r="P375" s="61">
        <f t="shared" si="442"/>
        <v>1</v>
      </c>
      <c r="Q375" s="61">
        <f t="shared" si="442"/>
        <v>1</v>
      </c>
      <c r="R375" s="226">
        <v>0</v>
      </c>
      <c r="S375" s="92">
        <f t="shared" si="442"/>
        <v>0</v>
      </c>
      <c r="T375" s="75" t="str">
        <f t="shared" si="442"/>
        <v xml:space="preserve">SplitHeatPump    </v>
      </c>
      <c r="U375" s="72">
        <f t="shared" si="397"/>
        <v>1</v>
      </c>
      <c r="V375" s="61">
        <f t="shared" si="398"/>
        <v>1</v>
      </c>
      <c r="W375" s="61">
        <f t="shared" si="438"/>
        <v>1</v>
      </c>
      <c r="X375" s="61">
        <f t="shared" si="411"/>
        <v>1</v>
      </c>
      <c r="Y375" s="61">
        <f t="shared" si="400"/>
        <v>0</v>
      </c>
      <c r="Z375" s="48">
        <v>1</v>
      </c>
      <c r="AA375" s="61" t="s">
        <v>0</v>
      </c>
      <c r="AB375" s="62" t="str">
        <f t="shared" si="401"/>
        <v xml:space="preserve">PkgHeatPump - Central single-packaged heat pump system (&lt; 65 kBtuh) </v>
      </c>
    </row>
    <row r="376" spans="1:28" x14ac:dyDescent="0.25">
      <c r="C376" s="61">
        <f t="shared" ref="C376:D376" si="443">C375</f>
        <v>2025</v>
      </c>
      <c r="D376" s="6">
        <f t="shared" si="443"/>
        <v>2026</v>
      </c>
      <c r="E376" t="s">
        <v>180</v>
      </c>
      <c r="F376" s="67" t="s">
        <v>154</v>
      </c>
      <c r="G376" s="66" t="s">
        <v>733</v>
      </c>
      <c r="H376" s="66" t="s">
        <v>733</v>
      </c>
      <c r="I376" s="11">
        <v>0</v>
      </c>
      <c r="J376" s="11">
        <v>0</v>
      </c>
      <c r="K376" s="11">
        <v>1</v>
      </c>
      <c r="L376" s="66" t="s">
        <v>712</v>
      </c>
      <c r="M376" s="66" t="s">
        <v>188</v>
      </c>
      <c r="N376" s="66" t="s">
        <v>189</v>
      </c>
      <c r="O376" s="72">
        <f t="shared" ref="O376:T376" si="444">O334</f>
        <v>0</v>
      </c>
      <c r="P376" s="61">
        <f t="shared" si="444"/>
        <v>1</v>
      </c>
      <c r="Q376" s="61">
        <f t="shared" si="444"/>
        <v>1</v>
      </c>
      <c r="R376" s="226">
        <v>0</v>
      </c>
      <c r="S376" s="92">
        <f t="shared" si="444"/>
        <v>0</v>
      </c>
      <c r="T376" s="75" t="str">
        <f t="shared" si="444"/>
        <v xml:space="preserve">SplitHeatPump    </v>
      </c>
      <c r="U376" s="72">
        <f t="shared" si="397"/>
        <v>0</v>
      </c>
      <c r="V376" s="61">
        <f t="shared" si="398"/>
        <v>0</v>
      </c>
      <c r="W376" s="61">
        <f t="shared" si="438"/>
        <v>0</v>
      </c>
      <c r="X376" s="61">
        <f t="shared" si="411"/>
        <v>0</v>
      </c>
      <c r="Y376" s="61">
        <f t="shared" si="400"/>
        <v>0</v>
      </c>
      <c r="Z376" s="48">
        <v>1</v>
      </c>
      <c r="AA376" s="61" t="s">
        <v>0</v>
      </c>
      <c r="AB376" s="62" t="str">
        <f t="shared" si="401"/>
        <v xml:space="preserve">LrgPkgHeatPump - Large packaged heat pump system (&gt;= 65 kBtuh)      </v>
      </c>
    </row>
    <row r="377" spans="1:28" x14ac:dyDescent="0.25">
      <c r="A377" t="s">
        <v>0</v>
      </c>
      <c r="C377" s="61">
        <f t="shared" ref="C377:D377" si="445">C376</f>
        <v>2025</v>
      </c>
      <c r="D377" s="6">
        <f t="shared" si="445"/>
        <v>2026</v>
      </c>
      <c r="E377" s="24" t="s">
        <v>181</v>
      </c>
      <c r="F377" s="67" t="s">
        <v>154</v>
      </c>
      <c r="G377" s="66" t="s">
        <v>733</v>
      </c>
      <c r="H377" s="66" t="s">
        <v>733</v>
      </c>
      <c r="I377" s="66" t="s">
        <v>155</v>
      </c>
      <c r="J377" s="66" t="s">
        <v>734</v>
      </c>
      <c r="K377" s="66" t="s">
        <v>734</v>
      </c>
      <c r="L377" s="66" t="s">
        <v>712</v>
      </c>
      <c r="M377" s="11">
        <v>0</v>
      </c>
      <c r="N377" s="11">
        <v>0</v>
      </c>
      <c r="O377" s="72">
        <f t="shared" ref="O377:T377" si="446">O335</f>
        <v>0</v>
      </c>
      <c r="P377" s="61">
        <f t="shared" si="446"/>
        <v>1</v>
      </c>
      <c r="Q377" s="61">
        <f t="shared" si="446"/>
        <v>0</v>
      </c>
      <c r="R377" s="61">
        <f t="shared" si="446"/>
        <v>1</v>
      </c>
      <c r="S377" s="92">
        <f t="shared" si="446"/>
        <v>0</v>
      </c>
      <c r="T377" s="75" t="str">
        <f t="shared" si="446"/>
        <v>N/A</v>
      </c>
      <c r="U377" s="72">
        <f t="shared" si="397"/>
        <v>0</v>
      </c>
      <c r="V377" s="61">
        <f t="shared" si="398"/>
        <v>0</v>
      </c>
      <c r="W377" s="61">
        <f t="shared" si="438"/>
        <v>0</v>
      </c>
      <c r="X377" s="61">
        <f t="shared" si="411"/>
        <v>0</v>
      </c>
      <c r="Y377" s="61">
        <f t="shared" si="400"/>
        <v>0</v>
      </c>
      <c r="Z377" s="48">
        <v>1</v>
      </c>
      <c r="AA377" s="61" t="s">
        <v>0</v>
      </c>
      <c r="AB377" s="62" t="str">
        <f t="shared" si="401"/>
        <v xml:space="preserve">GasCooling - Gas absorption cooling                                 </v>
      </c>
    </row>
    <row r="378" spans="1:28" x14ac:dyDescent="0.25">
      <c r="C378" s="61">
        <f t="shared" ref="C378:D378" si="447">C377</f>
        <v>2025</v>
      </c>
      <c r="D378" s="6">
        <f t="shared" si="447"/>
        <v>2026</v>
      </c>
      <c r="E378" t="s">
        <v>511</v>
      </c>
      <c r="F378" s="51">
        <v>12</v>
      </c>
      <c r="G378" s="191">
        <v>12</v>
      </c>
      <c r="H378" s="191">
        <v>1</v>
      </c>
      <c r="I378" s="149">
        <v>10</v>
      </c>
      <c r="J378" s="190">
        <f>I378*0.96</f>
        <v>9.6</v>
      </c>
      <c r="K378" s="188">
        <v>0.96</v>
      </c>
      <c r="L378" s="66" t="s">
        <v>712</v>
      </c>
      <c r="M378" s="66" t="s">
        <v>188</v>
      </c>
      <c r="N378" s="66" t="s">
        <v>189</v>
      </c>
      <c r="O378" s="72">
        <f t="shared" ref="O378:T378" si="448">O336</f>
        <v>1</v>
      </c>
      <c r="P378" s="61">
        <f t="shared" si="448"/>
        <v>1</v>
      </c>
      <c r="Q378" s="61">
        <f t="shared" si="448"/>
        <v>1</v>
      </c>
      <c r="R378" s="226">
        <v>0</v>
      </c>
      <c r="S378" s="92">
        <f t="shared" si="448"/>
        <v>0</v>
      </c>
      <c r="T378" s="75" t="str">
        <f t="shared" si="448"/>
        <v xml:space="preserve">SplitHeatPump    </v>
      </c>
      <c r="U378" s="72">
        <f t="shared" si="397"/>
        <v>1</v>
      </c>
      <c r="V378" s="61">
        <f t="shared" si="398"/>
        <v>1</v>
      </c>
      <c r="W378" s="61">
        <f t="shared" si="438"/>
        <v>1</v>
      </c>
      <c r="X378" s="61">
        <f t="shared" si="411"/>
        <v>1</v>
      </c>
      <c r="Y378" s="61">
        <f t="shared" si="400"/>
        <v>0</v>
      </c>
      <c r="Z378" s="48">
        <v>1</v>
      </c>
      <c r="AA378" s="61" t="s">
        <v>0</v>
      </c>
      <c r="AB378" s="62" t="str">
        <f t="shared" si="401"/>
        <v xml:space="preserve">SDHVSplitHeatPump - Small duct, high velocity, central split heat pump                              </v>
      </c>
    </row>
    <row r="379" spans="1:28" x14ac:dyDescent="0.25">
      <c r="C379" s="61">
        <f t="shared" ref="C379:D379" si="449">C378</f>
        <v>2025</v>
      </c>
      <c r="D379" s="6">
        <f t="shared" si="449"/>
        <v>2026</v>
      </c>
      <c r="E379" t="s">
        <v>530</v>
      </c>
      <c r="F379" s="187">
        <v>15</v>
      </c>
      <c r="G379" s="188">
        <v>14.3</v>
      </c>
      <c r="H379" s="188">
        <v>0.95</v>
      </c>
      <c r="I379" s="188">
        <v>12.2</v>
      </c>
      <c r="J379" s="188">
        <v>11.7</v>
      </c>
      <c r="K379" s="188">
        <v>0.96</v>
      </c>
      <c r="L379" s="66" t="s">
        <v>712</v>
      </c>
      <c r="M379" s="66" t="s">
        <v>188</v>
      </c>
      <c r="N379" s="66" t="s">
        <v>189</v>
      </c>
      <c r="O379" s="72">
        <f t="shared" ref="O379:T379" si="450">O337</f>
        <v>1</v>
      </c>
      <c r="P379" s="61">
        <f t="shared" si="450"/>
        <v>0</v>
      </c>
      <c r="Q379" s="61">
        <f t="shared" si="450"/>
        <v>1</v>
      </c>
      <c r="R379" s="226">
        <v>0</v>
      </c>
      <c r="S379" s="220">
        <v>0</v>
      </c>
      <c r="T379" s="75" t="str">
        <f t="shared" si="450"/>
        <v xml:space="preserve">SplitHeatPump    </v>
      </c>
      <c r="U379" s="72">
        <f t="shared" si="397"/>
        <v>1</v>
      </c>
      <c r="V379" s="61">
        <f t="shared" si="398"/>
        <v>1</v>
      </c>
      <c r="W379" s="61">
        <f t="shared" si="438"/>
        <v>1</v>
      </c>
      <c r="X379" s="61">
        <f t="shared" si="411"/>
        <v>1</v>
      </c>
      <c r="Y379" s="61">
        <f t="shared" si="400"/>
        <v>0</v>
      </c>
      <c r="Z379" s="48">
        <v>1</v>
      </c>
      <c r="AA379" s="61" t="s">
        <v>0</v>
      </c>
      <c r="AB379" s="62" t="str">
        <f t="shared" si="401"/>
        <v>DuctlessMiniSplitHeatPump – Ductless mini-split heat pump system</v>
      </c>
    </row>
    <row r="380" spans="1:28" x14ac:dyDescent="0.25">
      <c r="C380" s="61">
        <f t="shared" ref="C380:D380" si="451">C379</f>
        <v>2025</v>
      </c>
      <c r="D380" s="6">
        <f t="shared" si="451"/>
        <v>2026</v>
      </c>
      <c r="E380" t="s">
        <v>531</v>
      </c>
      <c r="F380" s="187">
        <v>15</v>
      </c>
      <c r="G380" s="188">
        <v>14.3</v>
      </c>
      <c r="H380" s="188">
        <v>0.95</v>
      </c>
      <c r="I380" s="188">
        <v>12.2</v>
      </c>
      <c r="J380" s="188">
        <v>11.7</v>
      </c>
      <c r="K380" s="188">
        <v>0.96</v>
      </c>
      <c r="L380" s="66" t="s">
        <v>712</v>
      </c>
      <c r="M380" s="66" t="s">
        <v>188</v>
      </c>
      <c r="N380" s="66" t="s">
        <v>189</v>
      </c>
      <c r="O380" s="72">
        <f t="shared" ref="O380:T380" si="452">O338</f>
        <v>1</v>
      </c>
      <c r="P380" s="61">
        <f t="shared" si="452"/>
        <v>0</v>
      </c>
      <c r="Q380" s="61">
        <f t="shared" si="452"/>
        <v>1</v>
      </c>
      <c r="R380" s="226">
        <v>0</v>
      </c>
      <c r="S380" s="220">
        <v>0</v>
      </c>
      <c r="T380" s="75" t="str">
        <f t="shared" si="452"/>
        <v xml:space="preserve">SplitHeatPump    </v>
      </c>
      <c r="U380" s="72">
        <f t="shared" si="397"/>
        <v>1</v>
      </c>
      <c r="V380" s="61">
        <f t="shared" si="398"/>
        <v>1</v>
      </c>
      <c r="W380" s="61">
        <f t="shared" si="438"/>
        <v>1</v>
      </c>
      <c r="X380" s="61">
        <f t="shared" si="411"/>
        <v>1</v>
      </c>
      <c r="Y380" s="61">
        <f t="shared" si="400"/>
        <v>0</v>
      </c>
      <c r="Z380" s="48">
        <v>1</v>
      </c>
      <c r="AA380" s="61" t="s">
        <v>0</v>
      </c>
      <c r="AB380" s="62" t="str">
        <f t="shared" si="401"/>
        <v>DuctlessMultiSplitHeatPump - Ductless multi-split heat pump system</v>
      </c>
    </row>
    <row r="381" spans="1:28" x14ac:dyDescent="0.25">
      <c r="C381" s="61">
        <f t="shared" ref="C381:D381" si="453">C380</f>
        <v>2025</v>
      </c>
      <c r="D381" s="6">
        <f t="shared" si="453"/>
        <v>2026</v>
      </c>
      <c r="E381" t="s">
        <v>520</v>
      </c>
      <c r="F381" s="51">
        <v>13</v>
      </c>
      <c r="G381" s="189">
        <f>F381*0.96</f>
        <v>12.48</v>
      </c>
      <c r="H381" s="193">
        <v>0.96</v>
      </c>
      <c r="I381" s="11">
        <v>11.3</v>
      </c>
      <c r="J381" s="190">
        <f>I381*0.96</f>
        <v>10.848000000000001</v>
      </c>
      <c r="K381" s="188">
        <v>0.96</v>
      </c>
      <c r="L381" s="66" t="s">
        <v>712</v>
      </c>
      <c r="M381" s="66" t="s">
        <v>188</v>
      </c>
      <c r="N381" s="66" t="s">
        <v>189</v>
      </c>
      <c r="O381" s="72">
        <f t="shared" ref="O381:T381" si="454">O339</f>
        <v>1</v>
      </c>
      <c r="P381" s="61">
        <f t="shared" si="454"/>
        <v>-1</v>
      </c>
      <c r="Q381" s="61">
        <f t="shared" si="454"/>
        <v>1</v>
      </c>
      <c r="R381" s="226">
        <v>0</v>
      </c>
      <c r="S381" s="220">
        <v>0</v>
      </c>
      <c r="T381" s="75" t="str">
        <f t="shared" si="454"/>
        <v xml:space="preserve">SplitHeatPump    </v>
      </c>
      <c r="U381" s="72">
        <f t="shared" si="397"/>
        <v>1</v>
      </c>
      <c r="V381" s="61">
        <f t="shared" si="398"/>
        <v>1</v>
      </c>
      <c r="W381" s="61">
        <f t="shared" si="438"/>
        <v>1</v>
      </c>
      <c r="X381" s="61">
        <f t="shared" si="411"/>
        <v>1</v>
      </c>
      <c r="Y381" s="61">
        <f t="shared" si="400"/>
        <v>0</v>
      </c>
      <c r="Z381" s="48">
        <v>1</v>
      </c>
      <c r="AA381" s="61" t="s">
        <v>0</v>
      </c>
      <c r="AB381" s="62" t="str">
        <f t="shared" si="401"/>
        <v>DuctlessVRFHeatPump - Ductless variable refrigerant flow (VRF) heat pump system</v>
      </c>
    </row>
    <row r="382" spans="1:28" x14ac:dyDescent="0.25">
      <c r="C382" s="61">
        <f t="shared" ref="C382:D382" si="455">C381</f>
        <v>2025</v>
      </c>
      <c r="D382" s="6">
        <f t="shared" si="455"/>
        <v>2026</v>
      </c>
      <c r="E382" s="176" t="s">
        <v>686</v>
      </c>
      <c r="F382" s="187">
        <v>15</v>
      </c>
      <c r="G382" s="188">
        <v>14.3</v>
      </c>
      <c r="H382" s="188">
        <v>0.95</v>
      </c>
      <c r="I382" s="188">
        <v>12.2</v>
      </c>
      <c r="J382" s="188">
        <v>11.7</v>
      </c>
      <c r="K382" s="188">
        <v>0.96</v>
      </c>
      <c r="L382" s="66" t="s">
        <v>712</v>
      </c>
      <c r="M382" s="66" t="s">
        <v>188</v>
      </c>
      <c r="N382" s="66" t="s">
        <v>189</v>
      </c>
      <c r="O382" s="72">
        <f t="shared" ref="O382:T382" si="456">O340</f>
        <v>1</v>
      </c>
      <c r="P382" s="61">
        <f t="shared" si="456"/>
        <v>1</v>
      </c>
      <c r="Q382" s="61">
        <f t="shared" si="456"/>
        <v>1</v>
      </c>
      <c r="R382" s="226">
        <v>0</v>
      </c>
      <c r="S382" s="220">
        <v>0</v>
      </c>
      <c r="T382" s="75" t="str">
        <f t="shared" si="456"/>
        <v xml:space="preserve">SplitHeatPump    </v>
      </c>
      <c r="U382" s="72">
        <f t="shared" si="397"/>
        <v>1</v>
      </c>
      <c r="V382" s="61">
        <f t="shared" si="398"/>
        <v>1</v>
      </c>
      <c r="W382" s="61">
        <f t="shared" si="438"/>
        <v>1</v>
      </c>
      <c r="X382" s="61">
        <f t="shared" si="411"/>
        <v>1</v>
      </c>
      <c r="Y382" s="61">
        <f t="shared" si="400"/>
        <v>0</v>
      </c>
      <c r="Z382" s="48">
        <v>1</v>
      </c>
      <c r="AA382" s="61" t="s">
        <v>0</v>
      </c>
      <c r="AB382" s="62" t="str">
        <f t="shared" si="401"/>
        <v>DuctedMiniSplitHeatPump - Ducted mini-split heat pump</v>
      </c>
    </row>
    <row r="383" spans="1:28" x14ac:dyDescent="0.25">
      <c r="C383" s="61">
        <f t="shared" ref="C383:D383" si="457">C382</f>
        <v>2025</v>
      </c>
      <c r="D383" s="6">
        <f t="shared" si="457"/>
        <v>2026</v>
      </c>
      <c r="E383" s="176" t="s">
        <v>687</v>
      </c>
      <c r="F383" s="187">
        <v>15</v>
      </c>
      <c r="G383" s="188">
        <v>14.3</v>
      </c>
      <c r="H383" s="188">
        <v>0.95</v>
      </c>
      <c r="I383" s="188">
        <v>12.2</v>
      </c>
      <c r="J383" s="188">
        <v>11.7</v>
      </c>
      <c r="K383" s="188">
        <v>0.96</v>
      </c>
      <c r="L383" s="66" t="s">
        <v>712</v>
      </c>
      <c r="M383" s="66" t="s">
        <v>188</v>
      </c>
      <c r="N383" s="66" t="s">
        <v>189</v>
      </c>
      <c r="O383" s="72">
        <f t="shared" ref="O383:T383" si="458">O341</f>
        <v>1</v>
      </c>
      <c r="P383" s="61">
        <f t="shared" si="458"/>
        <v>1</v>
      </c>
      <c r="Q383" s="61">
        <f t="shared" si="458"/>
        <v>1</v>
      </c>
      <c r="R383" s="226">
        <v>0</v>
      </c>
      <c r="S383" s="220">
        <v>0</v>
      </c>
      <c r="T383" s="75" t="str">
        <f t="shared" si="458"/>
        <v xml:space="preserve">SplitHeatPump    </v>
      </c>
      <c r="U383" s="72">
        <f t="shared" si="397"/>
        <v>1</v>
      </c>
      <c r="V383" s="61">
        <f t="shared" si="398"/>
        <v>1</v>
      </c>
      <c r="W383" s="61">
        <f t="shared" si="438"/>
        <v>1</v>
      </c>
      <c r="X383" s="61">
        <f t="shared" si="411"/>
        <v>1</v>
      </c>
      <c r="Y383" s="61">
        <f t="shared" si="400"/>
        <v>0</v>
      </c>
      <c r="Z383" s="48">
        <v>1</v>
      </c>
      <c r="AA383" s="61" t="s">
        <v>0</v>
      </c>
      <c r="AB383" s="62" t="str">
        <f t="shared" si="401"/>
        <v>DuctedMultiSplitHeatPump - Ducted multi-split heat pump</v>
      </c>
    </row>
    <row r="384" spans="1:28" x14ac:dyDescent="0.25">
      <c r="C384" s="61">
        <f t="shared" ref="C384:D384" si="459">C383</f>
        <v>2025</v>
      </c>
      <c r="D384" s="6">
        <f t="shared" si="459"/>
        <v>2026</v>
      </c>
      <c r="E384" s="176" t="s">
        <v>688</v>
      </c>
      <c r="F384" s="187">
        <v>15</v>
      </c>
      <c r="G384" s="188">
        <v>14.3</v>
      </c>
      <c r="H384" s="188">
        <v>0.95</v>
      </c>
      <c r="I384" s="188">
        <v>12.2</v>
      </c>
      <c r="J384" s="188">
        <v>11.7</v>
      </c>
      <c r="K384" s="188">
        <v>0.96</v>
      </c>
      <c r="L384" s="66" t="s">
        <v>712</v>
      </c>
      <c r="M384" s="66" t="s">
        <v>188</v>
      </c>
      <c r="N384" s="66" t="s">
        <v>189</v>
      </c>
      <c r="O384" s="72">
        <f t="shared" ref="O384:T384" si="460">O342</f>
        <v>1</v>
      </c>
      <c r="P384" s="61">
        <f t="shared" si="460"/>
        <v>1</v>
      </c>
      <c r="Q384" s="61">
        <f t="shared" si="460"/>
        <v>1</v>
      </c>
      <c r="R384" s="226">
        <v>0</v>
      </c>
      <c r="S384" s="220">
        <v>0</v>
      </c>
      <c r="T384" s="75" t="str">
        <f t="shared" si="460"/>
        <v xml:space="preserve">SplitHeatPump    </v>
      </c>
      <c r="U384" s="72">
        <f t="shared" si="397"/>
        <v>1</v>
      </c>
      <c r="V384" s="61">
        <f t="shared" si="398"/>
        <v>1</v>
      </c>
      <c r="W384" s="61">
        <f t="shared" si="438"/>
        <v>1</v>
      </c>
      <c r="X384" s="61">
        <f t="shared" si="411"/>
        <v>1</v>
      </c>
      <c r="Y384" s="61">
        <f t="shared" si="400"/>
        <v>0</v>
      </c>
      <c r="Z384" s="48">
        <v>1</v>
      </c>
      <c r="AA384" s="61" t="s">
        <v>0</v>
      </c>
      <c r="AB384" s="62" t="str">
        <f t="shared" si="401"/>
        <v>Ducted+DuctlessMultiSplitHeatPump - Ducted+ductless multi-split heat pump</v>
      </c>
    </row>
    <row r="385" spans="1:30" x14ac:dyDescent="0.25">
      <c r="C385" s="61">
        <f t="shared" ref="C385:D385" si="461">C384</f>
        <v>2025</v>
      </c>
      <c r="D385" s="6">
        <f t="shared" si="461"/>
        <v>2026</v>
      </c>
      <c r="E385" t="s">
        <v>182</v>
      </c>
      <c r="F385" s="67" t="s">
        <v>154</v>
      </c>
      <c r="G385" s="66" t="s">
        <v>733</v>
      </c>
      <c r="H385" s="66" t="s">
        <v>733</v>
      </c>
      <c r="I385" s="66" t="s">
        <v>155</v>
      </c>
      <c r="J385" s="66" t="s">
        <v>734</v>
      </c>
      <c r="K385" s="66" t="s">
        <v>734</v>
      </c>
      <c r="L385" s="10">
        <v>8.6999999999999993</v>
      </c>
      <c r="M385" s="66" t="s">
        <v>188</v>
      </c>
      <c r="N385" s="66" t="s">
        <v>189</v>
      </c>
      <c r="O385" s="72">
        <f t="shared" ref="O385:T385" si="462">O343</f>
        <v>1</v>
      </c>
      <c r="P385" s="61">
        <f t="shared" si="462"/>
        <v>0</v>
      </c>
      <c r="Q385" s="61">
        <f t="shared" si="462"/>
        <v>1</v>
      </c>
      <c r="R385" s="61">
        <f t="shared" si="462"/>
        <v>0</v>
      </c>
      <c r="S385" s="92">
        <f t="shared" si="462"/>
        <v>1</v>
      </c>
      <c r="T385" s="75" t="str">
        <f t="shared" si="462"/>
        <v xml:space="preserve">SplitHeatPump    </v>
      </c>
      <c r="U385" s="72">
        <f t="shared" si="397"/>
        <v>0</v>
      </c>
      <c r="V385" s="61">
        <f t="shared" si="398"/>
        <v>0</v>
      </c>
      <c r="W385" s="61">
        <f t="shared" si="438"/>
        <v>0</v>
      </c>
      <c r="X385" s="61">
        <f t="shared" si="411"/>
        <v>0</v>
      </c>
      <c r="Y385" s="61">
        <f t="shared" si="400"/>
        <v>1</v>
      </c>
      <c r="Z385" s="48">
        <v>0</v>
      </c>
      <c r="AA385" s="61" t="s">
        <v>0</v>
      </c>
      <c r="AB385" s="62" t="str">
        <f t="shared" si="401"/>
        <v xml:space="preserve">RoomHeatPump - Room (non-central) heat pump system                  </v>
      </c>
    </row>
    <row r="386" spans="1:30" x14ac:dyDescent="0.25">
      <c r="C386" s="61">
        <f t="shared" ref="C386:D386" si="463">C385</f>
        <v>2025</v>
      </c>
      <c r="D386" s="6">
        <f t="shared" si="463"/>
        <v>2026</v>
      </c>
      <c r="E386" t="s">
        <v>367</v>
      </c>
      <c r="F386" s="187">
        <v>15</v>
      </c>
      <c r="G386" s="188">
        <v>14.3</v>
      </c>
      <c r="H386" s="188">
        <v>0.95</v>
      </c>
      <c r="I386" s="188">
        <v>12.2</v>
      </c>
      <c r="J386" s="188">
        <v>11.7</v>
      </c>
      <c r="K386" s="188">
        <v>0.96</v>
      </c>
      <c r="L386" s="66" t="s">
        <v>712</v>
      </c>
      <c r="M386" s="66" t="s">
        <v>188</v>
      </c>
      <c r="N386" s="66" t="s">
        <v>189</v>
      </c>
      <c r="O386" s="72">
        <f t="shared" ref="O386:T387" si="464">O344</f>
        <v>1</v>
      </c>
      <c r="P386" s="61">
        <f t="shared" si="464"/>
        <v>-1</v>
      </c>
      <c r="Q386" s="61">
        <f t="shared" si="464"/>
        <v>1</v>
      </c>
      <c r="R386" s="61">
        <f t="shared" si="464"/>
        <v>1</v>
      </c>
      <c r="S386" s="92">
        <f t="shared" si="464"/>
        <v>0</v>
      </c>
      <c r="T386" s="75" t="str">
        <f t="shared" si="464"/>
        <v xml:space="preserve">SplitHeatPump    </v>
      </c>
      <c r="U386" s="72">
        <f t="shared" si="397"/>
        <v>1</v>
      </c>
      <c r="V386" s="61">
        <f t="shared" si="398"/>
        <v>1</v>
      </c>
      <c r="W386" s="61">
        <f t="shared" si="438"/>
        <v>1</v>
      </c>
      <c r="X386" s="61">
        <f t="shared" si="411"/>
        <v>1</v>
      </c>
      <c r="Y386" s="61">
        <f t="shared" si="400"/>
        <v>0</v>
      </c>
      <c r="Z386" s="48">
        <v>1</v>
      </c>
      <c r="AA386" s="61" t="s">
        <v>0</v>
      </c>
      <c r="AB386" s="62" t="str">
        <f t="shared" si="401"/>
        <v>AirToWaterHeatPump - Air to water heat pump (able to heat DHW)</v>
      </c>
    </row>
    <row r="387" spans="1:30" x14ac:dyDescent="0.25">
      <c r="C387" s="61">
        <f t="shared" ref="C387:D387" si="465">C386</f>
        <v>2025</v>
      </c>
      <c r="D387" s="6">
        <f t="shared" si="465"/>
        <v>2026</v>
      </c>
      <c r="E387" t="s">
        <v>801</v>
      </c>
      <c r="F387" s="187">
        <v>15</v>
      </c>
      <c r="G387" s="188">
        <v>14.3</v>
      </c>
      <c r="H387" s="188">
        <v>0.95</v>
      </c>
      <c r="I387" s="188">
        <v>12.2</v>
      </c>
      <c r="J387" s="188">
        <v>11.7</v>
      </c>
      <c r="K387" s="188">
        <v>0.96</v>
      </c>
      <c r="L387" s="66" t="s">
        <v>712</v>
      </c>
      <c r="M387" s="66" t="s">
        <v>188</v>
      </c>
      <c r="N387" s="66" t="s">
        <v>189</v>
      </c>
      <c r="O387" s="72">
        <f t="shared" si="464"/>
        <v>1</v>
      </c>
      <c r="P387" s="61">
        <f t="shared" si="464"/>
        <v>1</v>
      </c>
      <c r="Q387" s="61">
        <f t="shared" si="464"/>
        <v>1</v>
      </c>
      <c r="R387" s="61">
        <f t="shared" si="464"/>
        <v>0</v>
      </c>
      <c r="S387" s="92">
        <f t="shared" si="464"/>
        <v>0</v>
      </c>
      <c r="T387" s="75" t="str">
        <f t="shared" si="464"/>
        <v xml:space="preserve">SplitHeatPump    </v>
      </c>
      <c r="U387" s="72">
        <f t="shared" ref="U387" si="466">IF(AND(ISNUMBER(F387), F387&gt;0), 1, 0)</f>
        <v>1</v>
      </c>
      <c r="V387" s="61">
        <f t="shared" ref="V387" si="467">IF(AND(ISNUMBER(G387), G387&gt;0), 1, 0)</f>
        <v>1</v>
      </c>
      <c r="W387" s="61">
        <f t="shared" ref="W387" si="468">IF(AND(ISNUMBER(I387), I387&gt;0), 1, 0)</f>
        <v>1</v>
      </c>
      <c r="X387" s="61">
        <f t="shared" ref="X387" si="469">IF(AND(ISNUMBER(J387), J387&gt;0), 1, 0)</f>
        <v>1</v>
      </c>
      <c r="Y387" s="61">
        <f t="shared" ref="Y387" si="470">IF(AND(ISNUMBER(L387), L387&gt;0), 1, 0)</f>
        <v>0</v>
      </c>
      <c r="Z387" s="48">
        <v>1</v>
      </c>
      <c r="AA387" s="61" t="s">
        <v>0</v>
      </c>
      <c r="AB387" s="62" t="str">
        <f t="shared" si="401"/>
        <v>HeatPumpDHWCombo - Combined Heating / DHW Heat Pump</v>
      </c>
    </row>
    <row r="388" spans="1:30" x14ac:dyDescent="0.25">
      <c r="C388" s="61">
        <f t="shared" ref="C388:D388" si="471">C387</f>
        <v>2025</v>
      </c>
      <c r="D388" s="6">
        <f t="shared" si="471"/>
        <v>2026</v>
      </c>
      <c r="E388" t="s">
        <v>366</v>
      </c>
      <c r="F388" s="187">
        <v>15</v>
      </c>
      <c r="G388" s="188">
        <v>14.3</v>
      </c>
      <c r="H388" s="188">
        <v>0.95</v>
      </c>
      <c r="I388" s="188">
        <v>12.2</v>
      </c>
      <c r="J388" s="188">
        <v>11.7</v>
      </c>
      <c r="K388" s="188">
        <v>0.96</v>
      </c>
      <c r="L388" s="66" t="s">
        <v>712</v>
      </c>
      <c r="M388" s="66" t="s">
        <v>188</v>
      </c>
      <c r="N388" s="66" t="s">
        <v>189</v>
      </c>
      <c r="O388" s="72">
        <f t="shared" ref="O388:T388" si="472">O346</f>
        <v>1</v>
      </c>
      <c r="P388" s="61">
        <f t="shared" si="472"/>
        <v>-1</v>
      </c>
      <c r="Q388" s="61">
        <f t="shared" si="472"/>
        <v>1</v>
      </c>
      <c r="R388" s="61">
        <f t="shared" si="472"/>
        <v>1</v>
      </c>
      <c r="S388" s="92">
        <f t="shared" si="472"/>
        <v>1</v>
      </c>
      <c r="T388" s="75" t="str">
        <f t="shared" si="472"/>
        <v xml:space="preserve">SplitHeatPump    </v>
      </c>
      <c r="U388" s="72">
        <f t="shared" si="397"/>
        <v>1</v>
      </c>
      <c r="V388" s="61">
        <f t="shared" si="398"/>
        <v>1</v>
      </c>
      <c r="W388" s="61">
        <f t="shared" si="438"/>
        <v>1</v>
      </c>
      <c r="X388" s="61">
        <f t="shared" si="411"/>
        <v>1</v>
      </c>
      <c r="Y388" s="61">
        <f t="shared" si="400"/>
        <v>0</v>
      </c>
      <c r="Z388" s="48">
        <v>1</v>
      </c>
      <c r="AA388" s="61" t="s">
        <v>0</v>
      </c>
      <c r="AB388" s="62" t="str">
        <f t="shared" si="401"/>
        <v>GroundSourceHeatPump - Ground source heat pump (able to heat DHW)</v>
      </c>
    </row>
    <row r="389" spans="1:30" x14ac:dyDescent="0.25">
      <c r="C389" s="61">
        <f t="shared" ref="C389:D389" si="473">C388</f>
        <v>2025</v>
      </c>
      <c r="D389" s="6">
        <f t="shared" si="473"/>
        <v>2026</v>
      </c>
      <c r="E389" t="s">
        <v>549</v>
      </c>
      <c r="F389" s="187">
        <v>15</v>
      </c>
      <c r="G389" s="188">
        <v>14.3</v>
      </c>
      <c r="H389" s="188">
        <v>0.95</v>
      </c>
      <c r="I389" s="188">
        <v>12.2</v>
      </c>
      <c r="J389" s="188">
        <v>11.7</v>
      </c>
      <c r="K389" s="188">
        <v>0.96</v>
      </c>
      <c r="L389" s="66" t="s">
        <v>712</v>
      </c>
      <c r="M389" s="66" t="s">
        <v>188</v>
      </c>
      <c r="N389" s="66" t="s">
        <v>189</v>
      </c>
      <c r="O389" s="228">
        <v>0</v>
      </c>
      <c r="P389" s="61">
        <f t="shared" ref="P389:T389" si="474">P347</f>
        <v>-1</v>
      </c>
      <c r="Q389" s="61">
        <f t="shared" si="474"/>
        <v>1</v>
      </c>
      <c r="R389" s="61">
        <f t="shared" si="474"/>
        <v>0</v>
      </c>
      <c r="S389" s="92">
        <f t="shared" si="474"/>
        <v>0</v>
      </c>
      <c r="T389" s="75" t="str">
        <f t="shared" si="474"/>
        <v xml:space="preserve">SplitHeatPump    </v>
      </c>
      <c r="U389" s="72">
        <f t="shared" si="397"/>
        <v>1</v>
      </c>
      <c r="V389" s="61">
        <f t="shared" si="398"/>
        <v>1</v>
      </c>
      <c r="W389" s="61">
        <f t="shared" si="438"/>
        <v>1</v>
      </c>
      <c r="X389" s="61">
        <f t="shared" si="411"/>
        <v>1</v>
      </c>
      <c r="Y389" s="61">
        <f t="shared" si="400"/>
        <v>0</v>
      </c>
      <c r="Z389" s="48">
        <v>1</v>
      </c>
      <c r="AA389" s="61" t="s">
        <v>0</v>
      </c>
      <c r="AB389" s="62" t="str">
        <f t="shared" si="401"/>
        <v>VCHP - Variable Capacity Heat Pump</v>
      </c>
    </row>
    <row r="390" spans="1:30" x14ac:dyDescent="0.25">
      <c r="C390" s="61">
        <f t="shared" ref="C390:D391" si="475">C389</f>
        <v>2025</v>
      </c>
      <c r="D390" s="6">
        <f t="shared" si="475"/>
        <v>2026</v>
      </c>
      <c r="E390" t="s">
        <v>728</v>
      </c>
      <c r="F390" s="187">
        <v>15</v>
      </c>
      <c r="G390" s="188">
        <v>14.3</v>
      </c>
      <c r="H390" s="188">
        <v>0.95</v>
      </c>
      <c r="I390" s="188">
        <v>12.2</v>
      </c>
      <c r="J390" s="188">
        <v>11.7</v>
      </c>
      <c r="K390" s="188">
        <v>0.96</v>
      </c>
      <c r="L390" s="66" t="s">
        <v>712</v>
      </c>
      <c r="M390" s="66" t="s">
        <v>188</v>
      </c>
      <c r="N390" s="66" t="s">
        <v>189</v>
      </c>
      <c r="O390" s="72">
        <f t="shared" ref="O390:T391" si="476">O348</f>
        <v>1</v>
      </c>
      <c r="P390" s="61">
        <f t="shared" si="476"/>
        <v>-1</v>
      </c>
      <c r="Q390" s="61">
        <f t="shared" si="476"/>
        <v>1</v>
      </c>
      <c r="R390" s="61">
        <f t="shared" si="476"/>
        <v>0</v>
      </c>
      <c r="S390" s="92">
        <f t="shared" si="476"/>
        <v>0</v>
      </c>
      <c r="T390" s="75" t="str">
        <f t="shared" si="476"/>
        <v xml:space="preserve">SplitHeatPump    </v>
      </c>
      <c r="U390" s="72">
        <f t="shared" si="397"/>
        <v>1</v>
      </c>
      <c r="V390" s="61">
        <f t="shared" si="398"/>
        <v>1</v>
      </c>
      <c r="W390" s="61">
        <f t="shared" si="438"/>
        <v>1</v>
      </c>
      <c r="X390" s="61">
        <f t="shared" si="411"/>
        <v>1</v>
      </c>
      <c r="Y390" s="61">
        <f t="shared" si="400"/>
        <v>0</v>
      </c>
      <c r="Z390" s="48">
        <v>1</v>
      </c>
      <c r="AA390" s="61" t="s">
        <v>0</v>
      </c>
      <c r="AB390" s="62" t="str">
        <f t="shared" si="401"/>
        <v>VCHP2 - Variable Capacity Heat Pump</v>
      </c>
    </row>
    <row r="391" spans="1:30" x14ac:dyDescent="0.25">
      <c r="C391" s="61">
        <f t="shared" si="475"/>
        <v>2025</v>
      </c>
      <c r="D391" s="6">
        <f t="shared" si="475"/>
        <v>2026</v>
      </c>
      <c r="E391" t="s">
        <v>1065</v>
      </c>
      <c r="F391" s="187">
        <v>15</v>
      </c>
      <c r="G391" s="188">
        <v>14.3</v>
      </c>
      <c r="H391" s="188">
        <v>0.95</v>
      </c>
      <c r="I391" s="188">
        <v>12.2</v>
      </c>
      <c r="J391" s="188">
        <v>11.7</v>
      </c>
      <c r="K391" s="188">
        <v>0.96</v>
      </c>
      <c r="L391" s="66" t="s">
        <v>712</v>
      </c>
      <c r="M391" s="66" t="s">
        <v>188</v>
      </c>
      <c r="N391" s="66" t="s">
        <v>189</v>
      </c>
      <c r="O391" s="72">
        <f t="shared" si="476"/>
        <v>1</v>
      </c>
      <c r="P391" s="61">
        <f t="shared" si="476"/>
        <v>-1</v>
      </c>
      <c r="Q391" s="61">
        <f t="shared" si="476"/>
        <v>1</v>
      </c>
      <c r="R391" s="61">
        <f t="shared" si="476"/>
        <v>0</v>
      </c>
      <c r="S391" s="92">
        <f t="shared" si="476"/>
        <v>0</v>
      </c>
      <c r="T391" s="75" t="str">
        <f t="shared" si="476"/>
        <v xml:space="preserve">SplitHeatPump    </v>
      </c>
      <c r="U391" s="72">
        <f t="shared" ref="U391" si="477">IF(AND(ISNUMBER(F391), F391&gt;0), 1, 0)</f>
        <v>1</v>
      </c>
      <c r="V391" s="61">
        <f t="shared" ref="V391" si="478">IF(AND(ISNUMBER(G391), G391&gt;0), 1, 0)</f>
        <v>1</v>
      </c>
      <c r="W391" s="61">
        <f t="shared" ref="W391" si="479">IF(AND(ISNUMBER(I391), I391&gt;0), 1, 0)</f>
        <v>1</v>
      </c>
      <c r="X391" s="61">
        <f t="shared" ref="X391" si="480">IF(AND(ISNUMBER(J391), J391&gt;0), 1, 0)</f>
        <v>1</v>
      </c>
      <c r="Y391" s="61">
        <f t="shared" ref="Y391" si="481">IF(AND(ISNUMBER(L391), L391&gt;0), 1, 0)</f>
        <v>0</v>
      </c>
      <c r="Z391" s="48">
        <v>1</v>
      </c>
      <c r="AA391" s="61" t="s">
        <v>0</v>
      </c>
      <c r="AB391" s="62" t="str">
        <f t="shared" si="401"/>
        <v>VCHP3</v>
      </c>
    </row>
    <row r="392" spans="1:30" x14ac:dyDescent="0.25">
      <c r="C392" s="61">
        <f t="shared" ref="C392:D392" si="482">C391</f>
        <v>2025</v>
      </c>
      <c r="D392" s="6">
        <f t="shared" si="482"/>
        <v>2026</v>
      </c>
      <c r="E392" s="225" t="s">
        <v>1153</v>
      </c>
      <c r="F392" s="187">
        <v>15</v>
      </c>
      <c r="G392" s="188">
        <v>14.3</v>
      </c>
      <c r="H392" s="188">
        <v>0.95</v>
      </c>
      <c r="I392" s="188">
        <v>12.2</v>
      </c>
      <c r="J392" s="188">
        <v>11.7</v>
      </c>
      <c r="K392" s="188">
        <v>0.96</v>
      </c>
      <c r="L392" s="66" t="s">
        <v>712</v>
      </c>
      <c r="M392" s="66" t="s">
        <v>188</v>
      </c>
      <c r="N392" s="66" t="s">
        <v>189</v>
      </c>
      <c r="O392" s="72">
        <v>1</v>
      </c>
      <c r="P392" s="226">
        <v>0</v>
      </c>
      <c r="Q392" s="61">
        <v>1</v>
      </c>
      <c r="R392" s="61">
        <v>1</v>
      </c>
      <c r="S392" s="92">
        <v>0</v>
      </c>
      <c r="T392" s="75" t="s">
        <v>178</v>
      </c>
      <c r="U392" s="72">
        <v>1</v>
      </c>
      <c r="V392" s="61">
        <v>1</v>
      </c>
      <c r="W392" s="61">
        <v>1</v>
      </c>
      <c r="X392" s="61">
        <v>1</v>
      </c>
      <c r="Y392" s="61">
        <v>0</v>
      </c>
      <c r="Z392" s="48">
        <v>1</v>
      </c>
      <c r="AA392" s="61" t="s">
        <v>0</v>
      </c>
      <c r="AB392" s="227" t="s">
        <v>1155</v>
      </c>
    </row>
    <row r="393" spans="1:30" x14ac:dyDescent="0.25">
      <c r="C393" s="61">
        <f t="shared" ref="C393:D393" si="483">C392</f>
        <v>2025</v>
      </c>
      <c r="D393" s="6">
        <f t="shared" si="483"/>
        <v>2026</v>
      </c>
      <c r="E393" t="s">
        <v>183</v>
      </c>
      <c r="F393" s="52">
        <v>0</v>
      </c>
      <c r="G393" s="11">
        <v>0</v>
      </c>
      <c r="H393" s="11">
        <v>1</v>
      </c>
      <c r="I393" s="66" t="s">
        <v>155</v>
      </c>
      <c r="J393" s="66" t="s">
        <v>734</v>
      </c>
      <c r="K393" s="66" t="s">
        <v>734</v>
      </c>
      <c r="L393" s="66" t="s">
        <v>712</v>
      </c>
      <c r="M393" s="66" t="s">
        <v>188</v>
      </c>
      <c r="N393" s="66" t="s">
        <v>189</v>
      </c>
      <c r="O393" s="72">
        <f t="shared" ref="O393:T393" si="484">O350</f>
        <v>0</v>
      </c>
      <c r="P393" s="61">
        <f t="shared" si="484"/>
        <v>1</v>
      </c>
      <c r="Q393" s="61">
        <f t="shared" si="484"/>
        <v>0</v>
      </c>
      <c r="R393" s="61">
        <f t="shared" si="484"/>
        <v>0</v>
      </c>
      <c r="S393" s="92">
        <f t="shared" si="484"/>
        <v>0</v>
      </c>
      <c r="T393" s="75" t="str">
        <f t="shared" si="484"/>
        <v xml:space="preserve">SplitAirCond     </v>
      </c>
      <c r="U393" s="72">
        <f t="shared" si="397"/>
        <v>0</v>
      </c>
      <c r="V393" s="61">
        <f t="shared" si="398"/>
        <v>0</v>
      </c>
      <c r="W393" s="61">
        <f t="shared" si="438"/>
        <v>0</v>
      </c>
      <c r="X393" s="61">
        <f t="shared" si="411"/>
        <v>0</v>
      </c>
      <c r="Y393" s="61">
        <f t="shared" si="400"/>
        <v>0</v>
      </c>
      <c r="Z393" s="48">
        <v>1</v>
      </c>
      <c r="AA393" s="61" t="s">
        <v>0</v>
      </c>
      <c r="AB393" s="62" t="str">
        <f t="shared" ref="AB393:AB398" si="485">AB350</f>
        <v xml:space="preserve">EvapDirect - Direct evaporative cooling system                      </v>
      </c>
    </row>
    <row r="394" spans="1:30" x14ac:dyDescent="0.25">
      <c r="C394" s="61">
        <f t="shared" ref="C394:D394" si="486">C393</f>
        <v>2025</v>
      </c>
      <c r="D394" s="6">
        <f t="shared" si="486"/>
        <v>2026</v>
      </c>
      <c r="E394" t="s">
        <v>184</v>
      </c>
      <c r="F394" s="67" t="s">
        <v>154</v>
      </c>
      <c r="G394" s="66" t="s">
        <v>733</v>
      </c>
      <c r="H394" s="66" t="s">
        <v>733</v>
      </c>
      <c r="I394" s="48">
        <v>13</v>
      </c>
      <c r="J394" s="189">
        <f t="shared" ref="J394:J395" si="487">I394*0.96</f>
        <v>12.48</v>
      </c>
      <c r="K394" s="188">
        <v>0.96</v>
      </c>
      <c r="L394" s="66" t="s">
        <v>712</v>
      </c>
      <c r="M394" s="66" t="s">
        <v>188</v>
      </c>
      <c r="N394" s="66" t="s">
        <v>189</v>
      </c>
      <c r="O394" s="72">
        <f t="shared" ref="O394:T394" si="488">O351</f>
        <v>0</v>
      </c>
      <c r="P394" s="61">
        <f t="shared" si="488"/>
        <v>1</v>
      </c>
      <c r="Q394" s="61">
        <f t="shared" si="488"/>
        <v>0</v>
      </c>
      <c r="R394" s="61">
        <f t="shared" si="488"/>
        <v>0</v>
      </c>
      <c r="S394" s="92">
        <f t="shared" si="488"/>
        <v>0</v>
      </c>
      <c r="T394" s="75" t="str">
        <f t="shared" si="488"/>
        <v xml:space="preserve">SplitAirCond     </v>
      </c>
      <c r="U394" s="72">
        <f t="shared" si="397"/>
        <v>0</v>
      </c>
      <c r="V394" s="61">
        <f t="shared" si="398"/>
        <v>0</v>
      </c>
      <c r="W394" s="61">
        <f t="shared" si="438"/>
        <v>1</v>
      </c>
      <c r="X394" s="61">
        <f t="shared" si="411"/>
        <v>1</v>
      </c>
      <c r="Y394" s="61">
        <f t="shared" si="400"/>
        <v>0</v>
      </c>
      <c r="Z394" s="48">
        <v>1</v>
      </c>
      <c r="AA394" s="61" t="s">
        <v>0</v>
      </c>
      <c r="AB394" s="62" t="str">
        <f t="shared" si="485"/>
        <v xml:space="preserve">EvapIndirDirect - Indirect-direct evaporative cooling system        </v>
      </c>
    </row>
    <row r="395" spans="1:30" x14ac:dyDescent="0.25">
      <c r="C395" s="61">
        <f t="shared" ref="C395:D395" si="489">C394</f>
        <v>2025</v>
      </c>
      <c r="D395" s="6">
        <f t="shared" si="489"/>
        <v>2026</v>
      </c>
      <c r="E395" t="s">
        <v>185</v>
      </c>
      <c r="F395" s="67" t="s">
        <v>154</v>
      </c>
      <c r="G395" s="66" t="s">
        <v>733</v>
      </c>
      <c r="H395" s="66" t="s">
        <v>733</v>
      </c>
      <c r="I395" s="48">
        <v>13</v>
      </c>
      <c r="J395" s="189">
        <f t="shared" si="487"/>
        <v>12.48</v>
      </c>
      <c r="K395" s="188">
        <v>0.96</v>
      </c>
      <c r="L395" s="66" t="s">
        <v>712</v>
      </c>
      <c r="M395" s="66" t="s">
        <v>188</v>
      </c>
      <c r="N395" s="66" t="s">
        <v>189</v>
      </c>
      <c r="O395" s="72">
        <f t="shared" ref="O395:T395" si="490">O352</f>
        <v>0</v>
      </c>
      <c r="P395" s="61">
        <f t="shared" si="490"/>
        <v>1</v>
      </c>
      <c r="Q395" s="61">
        <f t="shared" si="490"/>
        <v>0</v>
      </c>
      <c r="R395" s="61">
        <f t="shared" si="490"/>
        <v>0</v>
      </c>
      <c r="S395" s="92">
        <f t="shared" si="490"/>
        <v>0</v>
      </c>
      <c r="T395" s="75" t="str">
        <f t="shared" si="490"/>
        <v xml:space="preserve">SplitAirCond     </v>
      </c>
      <c r="U395" s="72">
        <f t="shared" si="397"/>
        <v>0</v>
      </c>
      <c r="V395" s="61">
        <f t="shared" si="398"/>
        <v>0</v>
      </c>
      <c r="W395" s="61">
        <f t="shared" si="438"/>
        <v>1</v>
      </c>
      <c r="X395" s="61">
        <f t="shared" si="411"/>
        <v>1</v>
      </c>
      <c r="Y395" s="61">
        <f t="shared" si="400"/>
        <v>0</v>
      </c>
      <c r="Z395" s="48">
        <v>1</v>
      </c>
      <c r="AA395" s="61" t="s">
        <v>0</v>
      </c>
      <c r="AB395" s="62" t="str">
        <f t="shared" si="485"/>
        <v xml:space="preserve">EvapIndirect - Indirect evaporative cooling system                  </v>
      </c>
    </row>
    <row r="396" spans="1:30" x14ac:dyDescent="0.25">
      <c r="C396" s="61">
        <f t="shared" ref="C396:D396" si="491">C395</f>
        <v>2025</v>
      </c>
      <c r="D396" s="6">
        <f t="shared" si="491"/>
        <v>2026</v>
      </c>
      <c r="E396" t="s">
        <v>379</v>
      </c>
      <c r="F396" s="51">
        <v>16</v>
      </c>
      <c r="G396" s="189">
        <f>F396*0.96</f>
        <v>15.36</v>
      </c>
      <c r="H396" s="188">
        <v>0.96</v>
      </c>
      <c r="I396" s="11">
        <v>14</v>
      </c>
      <c r="J396" s="189">
        <f>I396*0.96</f>
        <v>13.44</v>
      </c>
      <c r="K396" s="188">
        <v>0.96</v>
      </c>
      <c r="L396" s="66" t="s">
        <v>712</v>
      </c>
      <c r="M396" s="66" t="s">
        <v>188</v>
      </c>
      <c r="N396" s="66" t="s">
        <v>189</v>
      </c>
      <c r="O396" s="72">
        <f t="shared" ref="O396:T396" si="492">O353</f>
        <v>1</v>
      </c>
      <c r="P396" s="61">
        <f t="shared" si="492"/>
        <v>1</v>
      </c>
      <c r="Q396" s="61">
        <f t="shared" si="492"/>
        <v>0</v>
      </c>
      <c r="R396" s="61">
        <f t="shared" si="492"/>
        <v>1</v>
      </c>
      <c r="S396" s="92">
        <f t="shared" si="492"/>
        <v>0</v>
      </c>
      <c r="T396" s="75" t="str">
        <f t="shared" si="492"/>
        <v xml:space="preserve">SplitAirCond     </v>
      </c>
      <c r="U396" s="72">
        <f t="shared" si="397"/>
        <v>1</v>
      </c>
      <c r="V396" s="61">
        <f t="shared" si="398"/>
        <v>1</v>
      </c>
      <c r="W396" s="61">
        <f t="shared" si="438"/>
        <v>1</v>
      </c>
      <c r="X396" s="61">
        <f t="shared" si="411"/>
        <v>1</v>
      </c>
      <c r="Y396" s="61">
        <f t="shared" si="400"/>
        <v>0</v>
      </c>
      <c r="Z396" s="48">
        <v>1</v>
      </c>
      <c r="AA396" s="61" t="s">
        <v>0</v>
      </c>
      <c r="AB396" s="62" t="str">
        <f t="shared" si="485"/>
        <v>EvapCondenser - Evaporatively-cooled condenser for split AC systems</v>
      </c>
      <c r="AD396" s="125"/>
    </row>
    <row r="397" spans="1:30" x14ac:dyDescent="0.25">
      <c r="A397" t="s">
        <v>0</v>
      </c>
      <c r="C397" s="61">
        <f t="shared" ref="C397:D397" si="493">C396</f>
        <v>2025</v>
      </c>
      <c r="D397" s="6">
        <f t="shared" si="493"/>
        <v>2026</v>
      </c>
      <c r="E397" s="24" t="s">
        <v>186</v>
      </c>
      <c r="F397" s="67" t="s">
        <v>154</v>
      </c>
      <c r="G397" s="66" t="s">
        <v>733</v>
      </c>
      <c r="H397" s="66" t="s">
        <v>733</v>
      </c>
      <c r="I397" s="11">
        <v>0</v>
      </c>
      <c r="J397" s="11">
        <v>0</v>
      </c>
      <c r="K397" s="11">
        <v>1</v>
      </c>
      <c r="L397" s="66" t="s">
        <v>712</v>
      </c>
      <c r="M397" s="66" t="s">
        <v>188</v>
      </c>
      <c r="N397" s="66" t="s">
        <v>189</v>
      </c>
      <c r="O397" s="72">
        <f t="shared" ref="O397:T397" si="494">O354</f>
        <v>0</v>
      </c>
      <c r="P397" s="61">
        <f t="shared" si="494"/>
        <v>1</v>
      </c>
      <c r="Q397" s="61">
        <f t="shared" si="494"/>
        <v>0</v>
      </c>
      <c r="R397" s="61">
        <f t="shared" si="494"/>
        <v>1</v>
      </c>
      <c r="S397" s="92">
        <f t="shared" si="494"/>
        <v>0</v>
      </c>
      <c r="T397" s="75" t="str">
        <f t="shared" si="494"/>
        <v>N/A</v>
      </c>
      <c r="U397" s="72">
        <f t="shared" si="397"/>
        <v>0</v>
      </c>
      <c r="V397" s="61">
        <f t="shared" si="398"/>
        <v>0</v>
      </c>
      <c r="W397" s="61">
        <f t="shared" si="438"/>
        <v>0</v>
      </c>
      <c r="X397" s="61">
        <f t="shared" si="411"/>
        <v>0</v>
      </c>
      <c r="Y397" s="61">
        <f t="shared" si="400"/>
        <v>0</v>
      </c>
      <c r="Z397" s="48">
        <v>1</v>
      </c>
      <c r="AA397" s="61" t="s">
        <v>0</v>
      </c>
      <c r="AB397" s="62" t="str">
        <f t="shared" si="485"/>
        <v xml:space="preserve">Evap/CC - Evaporatively-cooled condensers                           </v>
      </c>
    </row>
    <row r="398" spans="1:30" x14ac:dyDescent="0.25">
      <c r="A398" t="s">
        <v>0</v>
      </c>
      <c r="C398" s="61">
        <f t="shared" ref="C398:D398" si="495">C397</f>
        <v>2025</v>
      </c>
      <c r="D398" s="6">
        <f t="shared" si="495"/>
        <v>2026</v>
      </c>
      <c r="E398" s="24" t="s">
        <v>187</v>
      </c>
      <c r="F398" s="52">
        <v>0</v>
      </c>
      <c r="G398" s="11">
        <v>0</v>
      </c>
      <c r="H398" s="11">
        <v>1</v>
      </c>
      <c r="I398" s="11">
        <v>0</v>
      </c>
      <c r="J398" s="11">
        <v>0</v>
      </c>
      <c r="K398" s="11">
        <v>1</v>
      </c>
      <c r="L398" s="66" t="s">
        <v>712</v>
      </c>
      <c r="M398" s="66" t="s">
        <v>188</v>
      </c>
      <c r="N398" s="66" t="s">
        <v>189</v>
      </c>
      <c r="O398" s="72">
        <f t="shared" ref="O398:T398" si="496">O355</f>
        <v>0</v>
      </c>
      <c r="P398" s="61">
        <f t="shared" si="496"/>
        <v>1</v>
      </c>
      <c r="Q398" s="61">
        <f t="shared" si="496"/>
        <v>0</v>
      </c>
      <c r="R398" s="61">
        <f t="shared" si="496"/>
        <v>1</v>
      </c>
      <c r="S398" s="92">
        <f t="shared" si="496"/>
        <v>0</v>
      </c>
      <c r="T398" s="75" t="str">
        <f t="shared" si="496"/>
        <v>N/A</v>
      </c>
      <c r="U398" s="72">
        <f t="shared" si="397"/>
        <v>0</v>
      </c>
      <c r="V398" s="61">
        <f t="shared" si="398"/>
        <v>0</v>
      </c>
      <c r="W398" s="61">
        <f t="shared" si="438"/>
        <v>0</v>
      </c>
      <c r="X398" s="61">
        <f t="shared" si="411"/>
        <v>0</v>
      </c>
      <c r="Y398" s="61">
        <f t="shared" si="400"/>
        <v>0</v>
      </c>
      <c r="Z398" s="48">
        <v>1</v>
      </c>
      <c r="AA398" s="61" t="s">
        <v>0</v>
      </c>
      <c r="AB398" s="62" t="str">
        <f t="shared" si="485"/>
        <v xml:space="preserve">IceSAC - Ice storage air conditioning system                        </v>
      </c>
    </row>
    <row r="399" spans="1:30" x14ac:dyDescent="0.25">
      <c r="A399" s="173" t="s">
        <v>664</v>
      </c>
      <c r="B399" s="103"/>
      <c r="C399" s="153"/>
      <c r="D399" s="103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  <c r="AA399" s="171"/>
      <c r="AB399" s="171"/>
      <c r="AC399" s="127"/>
    </row>
    <row r="400" spans="1:30" x14ac:dyDescent="0.25">
      <c r="C400" s="172" t="s">
        <v>353</v>
      </c>
      <c r="D400" s="172" t="s">
        <v>353</v>
      </c>
      <c r="E400" s="119" t="s">
        <v>665</v>
      </c>
      <c r="F400" s="67" t="s">
        <v>154</v>
      </c>
      <c r="G400" s="66" t="s">
        <v>733</v>
      </c>
      <c r="H400" s="66" t="s">
        <v>733</v>
      </c>
      <c r="I400" s="66" t="s">
        <v>155</v>
      </c>
      <c r="J400" s="66" t="s">
        <v>734</v>
      </c>
      <c r="K400" s="66" t="s">
        <v>734</v>
      </c>
      <c r="L400" s="66" t="s">
        <v>712</v>
      </c>
      <c r="M400" s="66" t="s">
        <v>188</v>
      </c>
      <c r="N400" s="66" t="s">
        <v>189</v>
      </c>
      <c r="O400" s="92">
        <v>0</v>
      </c>
      <c r="P400" s="6">
        <v>0</v>
      </c>
      <c r="Q400" s="6">
        <v>0</v>
      </c>
      <c r="R400" s="6">
        <v>0</v>
      </c>
      <c r="S400" s="92">
        <v>0</v>
      </c>
      <c r="T400" s="74" t="s">
        <v>227</v>
      </c>
      <c r="U400" s="92">
        <f>IF(AND(ISNUMBER(F400), F400&gt;0), 1, 0)</f>
        <v>0</v>
      </c>
      <c r="V400" s="6">
        <f>IF(AND(ISNUMBER(G400), G400&gt;0), 1, 0)</f>
        <v>0</v>
      </c>
      <c r="W400" s="6">
        <f>IF(AND(ISNUMBER(I400), I400&gt;0), 1, 0)</f>
        <v>0</v>
      </c>
      <c r="X400" s="113">
        <f>IF(AND(ISNUMBER(J400), J400&gt;0), 1, 0)</f>
        <v>0</v>
      </c>
      <c r="Y400" s="113">
        <f t="shared" ref="Y400" si="497">IF(AND(ISNUMBER(L400), L400&gt;0), 1, 0)</f>
        <v>0</v>
      </c>
      <c r="Z400" s="134">
        <v>-1</v>
      </c>
      <c r="AA400" s="61" t="s">
        <v>0</v>
      </c>
      <c r="AB400" s="24" t="s">
        <v>667</v>
      </c>
    </row>
    <row r="401" spans="2:26" x14ac:dyDescent="0.25">
      <c r="D401" s="169" t="s">
        <v>154</v>
      </c>
      <c r="E401" s="170" t="s">
        <v>190</v>
      </c>
      <c r="F401" s="170"/>
      <c r="G401" s="170"/>
      <c r="H401" s="170"/>
      <c r="I401" s="170"/>
      <c r="J401" s="170"/>
      <c r="K401" s="170"/>
      <c r="L401" s="170"/>
      <c r="M401" s="170"/>
      <c r="N401" s="170"/>
      <c r="O401" s="170"/>
      <c r="P401" s="170"/>
      <c r="Q401" s="170"/>
      <c r="R401" s="170"/>
      <c r="S401" s="170"/>
      <c r="T401" s="170"/>
      <c r="U401" s="170"/>
      <c r="V401" s="170"/>
      <c r="W401" s="170"/>
      <c r="X401" s="175"/>
      <c r="Y401" s="175"/>
      <c r="Z401" s="175"/>
    </row>
    <row r="402" spans="2:26" x14ac:dyDescent="0.25">
      <c r="D402" s="66" t="s">
        <v>155</v>
      </c>
      <c r="E402" s="65" t="s">
        <v>191</v>
      </c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</row>
    <row r="403" spans="2:26" x14ac:dyDescent="0.25">
      <c r="D403" s="66" t="s">
        <v>188</v>
      </c>
      <c r="E403" s="65" t="s">
        <v>192</v>
      </c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</row>
    <row r="404" spans="2:26" x14ac:dyDescent="0.25">
      <c r="D404" s="66" t="s">
        <v>189</v>
      </c>
      <c r="E404" s="65" t="s">
        <v>193</v>
      </c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</row>
    <row r="405" spans="2:26" x14ac:dyDescent="0.25">
      <c r="D405" s="66" t="s">
        <v>712</v>
      </c>
      <c r="E405" s="65" t="s">
        <v>713</v>
      </c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</row>
    <row r="406" spans="2:26" x14ac:dyDescent="0.25">
      <c r="D406" s="66" t="s">
        <v>733</v>
      </c>
      <c r="E406" s="65" t="s">
        <v>735</v>
      </c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</row>
    <row r="407" spans="2:26" x14ac:dyDescent="0.25">
      <c r="D407" s="66" t="s">
        <v>734</v>
      </c>
      <c r="E407" s="65" t="s">
        <v>736</v>
      </c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</row>
    <row r="408" spans="2:26" x14ac:dyDescent="0.25">
      <c r="B408" s="24" t="s">
        <v>50</v>
      </c>
      <c r="C408" s="6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B56ED-8842-429F-8EA8-F71D1D1E25EA}">
  <dimension ref="A1:L196"/>
  <sheetViews>
    <sheetView zoomScale="120" zoomScaleNormal="120" workbookViewId="0">
      <selection activeCell="D15" sqref="D15:F18"/>
    </sheetView>
  </sheetViews>
  <sheetFormatPr defaultRowHeight="15" x14ac:dyDescent="0.25"/>
  <cols>
    <col min="3" max="3" width="19.42578125" customWidth="1"/>
    <col min="4" max="4" width="13.85546875" customWidth="1"/>
    <col min="5" max="5" width="15.5703125" customWidth="1"/>
    <col min="6" max="10" width="10.7109375" customWidth="1"/>
    <col min="12" max="12" width="12" bestFit="1" customWidth="1"/>
  </cols>
  <sheetData>
    <row r="1" spans="1:8" x14ac:dyDescent="0.25">
      <c r="A1" t="s">
        <v>0</v>
      </c>
      <c r="B1" t="s">
        <v>1</v>
      </c>
    </row>
    <row r="2" spans="1:8" x14ac:dyDescent="0.25">
      <c r="A2" t="s">
        <v>0</v>
      </c>
      <c r="B2" t="s">
        <v>805</v>
      </c>
    </row>
    <row r="3" spans="1:8" x14ac:dyDescent="0.25">
      <c r="A3" t="s">
        <v>0</v>
      </c>
      <c r="B3" t="s">
        <v>492</v>
      </c>
      <c r="D3" t="s">
        <v>806</v>
      </c>
    </row>
    <row r="4" spans="1:8" x14ac:dyDescent="0.25">
      <c r="A4" t="s">
        <v>0</v>
      </c>
      <c r="B4" t="s">
        <v>3</v>
      </c>
      <c r="D4" t="s">
        <v>1095</v>
      </c>
    </row>
    <row r="5" spans="1:8" x14ac:dyDescent="0.25">
      <c r="A5" t="s">
        <v>0</v>
      </c>
    </row>
    <row r="6" spans="1:8" x14ac:dyDescent="0.25">
      <c r="A6" t="s">
        <v>0</v>
      </c>
      <c r="B6" t="s">
        <v>24</v>
      </c>
      <c r="D6" t="s">
        <v>808</v>
      </c>
    </row>
    <row r="7" spans="1:8" x14ac:dyDescent="0.25">
      <c r="A7" t="s">
        <v>0</v>
      </c>
    </row>
    <row r="8" spans="1:8" x14ac:dyDescent="0.25">
      <c r="A8" t="s">
        <v>0</v>
      </c>
      <c r="B8" t="s">
        <v>4</v>
      </c>
      <c r="D8" t="s">
        <v>1094</v>
      </c>
    </row>
    <row r="9" spans="1:8" x14ac:dyDescent="0.25">
      <c r="A9" t="s">
        <v>0</v>
      </c>
      <c r="D9" t="s">
        <v>1066</v>
      </c>
    </row>
    <row r="10" spans="1:8" x14ac:dyDescent="0.25">
      <c r="A10" t="s">
        <v>0</v>
      </c>
      <c r="D10" t="s">
        <v>807</v>
      </c>
    </row>
    <row r="11" spans="1:8" x14ac:dyDescent="0.25">
      <c r="A11" t="s">
        <v>0</v>
      </c>
    </row>
    <row r="12" spans="1:8" x14ac:dyDescent="0.25">
      <c r="A12" t="s">
        <v>0</v>
      </c>
    </row>
    <row r="13" spans="1:8" x14ac:dyDescent="0.25">
      <c r="B13" s="145" t="s">
        <v>809</v>
      </c>
      <c r="C13" s="145"/>
      <c r="D13" s="146"/>
      <c r="E13" s="146"/>
      <c r="F13" s="146"/>
    </row>
    <row r="14" spans="1:8" x14ac:dyDescent="0.25">
      <c r="C14" s="147" t="s">
        <v>810</v>
      </c>
      <c r="D14" s="147" t="s">
        <v>811</v>
      </c>
      <c r="E14" s="147" t="s">
        <v>812</v>
      </c>
      <c r="F14" s="147" t="s">
        <v>813</v>
      </c>
    </row>
    <row r="15" spans="1:8" x14ac:dyDescent="0.25">
      <c r="C15" t="s">
        <v>814</v>
      </c>
      <c r="D15" s="203">
        <v>-0.32406970650566153</v>
      </c>
      <c r="E15" s="203">
        <v>1.304995981404673</v>
      </c>
      <c r="F15" s="203">
        <v>0.12655634584261771</v>
      </c>
      <c r="G15" s="6" t="s">
        <v>0</v>
      </c>
      <c r="H15" t="s">
        <v>818</v>
      </c>
    </row>
    <row r="16" spans="1:8" x14ac:dyDescent="0.25">
      <c r="C16" t="s">
        <v>815</v>
      </c>
      <c r="D16" s="203">
        <v>-0.1194657608023873</v>
      </c>
      <c r="E16" s="203">
        <v>0.50962874336215891</v>
      </c>
      <c r="F16" s="203">
        <v>4.6810878271605683E-2</v>
      </c>
      <c r="G16" s="6" t="s">
        <v>0</v>
      </c>
      <c r="H16" t="s">
        <v>819</v>
      </c>
    </row>
    <row r="17" spans="1:10" x14ac:dyDescent="0.25">
      <c r="C17" t="s">
        <v>816</v>
      </c>
      <c r="D17" s="203">
        <v>6.5998782097587902E-2</v>
      </c>
      <c r="E17" s="203">
        <v>2.8367979164842292</v>
      </c>
      <c r="F17" s="203">
        <v>5.4463218005817222E-2</v>
      </c>
      <c r="G17" s="6" t="s">
        <v>0</v>
      </c>
      <c r="H17" t="s">
        <v>820</v>
      </c>
    </row>
    <row r="18" spans="1:10" x14ac:dyDescent="0.25">
      <c r="C18" t="s">
        <v>1092</v>
      </c>
      <c r="D18" s="203">
        <f>D16/D15</f>
        <v>0.36864217297737523</v>
      </c>
      <c r="E18" s="203">
        <f>E16-D16/D15*E15</f>
        <v>2.8552189050397914E-2</v>
      </c>
      <c r="F18" s="203">
        <v>0</v>
      </c>
      <c r="G18" s="6" t="s">
        <v>0</v>
      </c>
      <c r="H18" t="s">
        <v>1093</v>
      </c>
    </row>
    <row r="19" spans="1:10" x14ac:dyDescent="0.25">
      <c r="C19" s="10" t="s">
        <v>353</v>
      </c>
      <c r="D19" s="204">
        <v>0</v>
      </c>
      <c r="E19" s="204">
        <v>0</v>
      </c>
      <c r="F19" s="204">
        <v>0</v>
      </c>
      <c r="G19" s="207" t="s">
        <v>0</v>
      </c>
      <c r="H19" s="206" t="s">
        <v>817</v>
      </c>
    </row>
    <row r="20" spans="1:10" x14ac:dyDescent="0.25">
      <c r="B20" t="s">
        <v>50</v>
      </c>
    </row>
    <row r="21" spans="1:10" x14ac:dyDescent="0.25">
      <c r="A21" t="s">
        <v>0</v>
      </c>
    </row>
    <row r="22" spans="1:10" x14ac:dyDescent="0.25">
      <c r="A22" t="s">
        <v>0</v>
      </c>
    </row>
    <row r="23" spans="1:10" x14ac:dyDescent="0.25">
      <c r="B23" s="145" t="s">
        <v>821</v>
      </c>
      <c r="C23" s="145"/>
      <c r="D23" s="146"/>
      <c r="E23" s="146"/>
      <c r="F23" s="146"/>
    </row>
    <row r="24" spans="1:10" x14ac:dyDescent="0.25">
      <c r="C24" s="147" t="s">
        <v>810</v>
      </c>
      <c r="D24" s="147" t="s">
        <v>847</v>
      </c>
    </row>
    <row r="25" spans="1:10" x14ac:dyDescent="0.25">
      <c r="C25" t="s">
        <v>822</v>
      </c>
      <c r="D25">
        <v>0.90846119467638486</v>
      </c>
      <c r="E25" s="6" t="s">
        <v>0</v>
      </c>
      <c r="F25" t="s">
        <v>848</v>
      </c>
    </row>
    <row r="26" spans="1:10" x14ac:dyDescent="0.25">
      <c r="C26" t="s">
        <v>823</v>
      </c>
      <c r="D26">
        <v>0.27162518208416181</v>
      </c>
      <c r="E26" s="6" t="s">
        <v>0</v>
      </c>
      <c r="F26" t="s">
        <v>849</v>
      </c>
    </row>
    <row r="27" spans="1:10" x14ac:dyDescent="0.25">
      <c r="C27" t="s">
        <v>824</v>
      </c>
      <c r="D27">
        <v>0.81726866046735724</v>
      </c>
      <c r="E27" s="6" t="s">
        <v>0</v>
      </c>
      <c r="F27" t="s">
        <v>850</v>
      </c>
    </row>
    <row r="28" spans="1:10" x14ac:dyDescent="0.25">
      <c r="C28" t="s">
        <v>825</v>
      </c>
      <c r="D28">
        <v>0.34079587723544508</v>
      </c>
      <c r="E28" s="6" t="s">
        <v>0</v>
      </c>
      <c r="F28" t="s">
        <v>851</v>
      </c>
    </row>
    <row r="29" spans="1:10" x14ac:dyDescent="0.25">
      <c r="C29" t="s">
        <v>827</v>
      </c>
      <c r="D29">
        <v>0.98824799370521366</v>
      </c>
      <c r="E29" s="6" t="s">
        <v>0</v>
      </c>
      <c r="F29" t="s">
        <v>852</v>
      </c>
    </row>
    <row r="30" spans="1:10" x14ac:dyDescent="0.25">
      <c r="C30" t="s">
        <v>828</v>
      </c>
      <c r="D30">
        <v>0.32106107116202942</v>
      </c>
      <c r="E30" s="6" t="s">
        <v>0</v>
      </c>
      <c r="F30" t="s">
        <v>853</v>
      </c>
    </row>
    <row r="31" spans="1:10" x14ac:dyDescent="0.25">
      <c r="C31" t="s">
        <v>831</v>
      </c>
      <c r="D31">
        <v>0.93371384168102334</v>
      </c>
      <c r="E31" s="6" t="s">
        <v>0</v>
      </c>
      <c r="F31" t="s">
        <v>854</v>
      </c>
    </row>
    <row r="32" spans="1:10" x14ac:dyDescent="0.25">
      <c r="C32" s="205" t="s">
        <v>815</v>
      </c>
      <c r="D32">
        <v>0.30414650929322951</v>
      </c>
      <c r="E32" s="6" t="s">
        <v>0</v>
      </c>
      <c r="F32" t="s">
        <v>855</v>
      </c>
      <c r="J32" t="s">
        <v>1061</v>
      </c>
    </row>
    <row r="33" spans="3:6" x14ac:dyDescent="0.25">
      <c r="C33" s="205" t="s">
        <v>963</v>
      </c>
      <c r="D33">
        <v>0.3005775852039263</v>
      </c>
      <c r="E33" s="6" t="s">
        <v>0</v>
      </c>
      <c r="F33" t="s">
        <v>856</v>
      </c>
    </row>
    <row r="34" spans="3:6" x14ac:dyDescent="0.25">
      <c r="C34" s="205" t="s">
        <v>964</v>
      </c>
      <c r="D34">
        <v>0.76894809380036488</v>
      </c>
      <c r="E34" s="6" t="s">
        <v>0</v>
      </c>
      <c r="F34" t="s">
        <v>857</v>
      </c>
    </row>
    <row r="35" spans="3:6" x14ac:dyDescent="0.25">
      <c r="C35" s="205" t="s">
        <v>965</v>
      </c>
      <c r="D35">
        <v>0.68887316941081111</v>
      </c>
      <c r="E35" s="6" t="s">
        <v>0</v>
      </c>
      <c r="F35" t="s">
        <v>858</v>
      </c>
    </row>
    <row r="36" spans="3:6" x14ac:dyDescent="0.25">
      <c r="C36" s="205" t="s">
        <v>966</v>
      </c>
      <c r="D36">
        <v>0.98074985450505592</v>
      </c>
      <c r="E36" s="6" t="s">
        <v>0</v>
      </c>
      <c r="F36" t="s">
        <v>859</v>
      </c>
    </row>
    <row r="37" spans="3:6" x14ac:dyDescent="0.25">
      <c r="C37" t="s">
        <v>826</v>
      </c>
      <c r="D37">
        <v>0.86639443520588644</v>
      </c>
      <c r="E37" s="6" t="s">
        <v>0</v>
      </c>
      <c r="F37" t="s">
        <v>860</v>
      </c>
    </row>
    <row r="38" spans="3:6" x14ac:dyDescent="0.25">
      <c r="C38" s="205" t="s">
        <v>967</v>
      </c>
      <c r="D38">
        <v>1.0571694859545731</v>
      </c>
      <c r="E38" s="6" t="s">
        <v>0</v>
      </c>
      <c r="F38" t="s">
        <v>861</v>
      </c>
    </row>
    <row r="39" spans="3:6" x14ac:dyDescent="0.25">
      <c r="C39" s="205" t="s">
        <v>968</v>
      </c>
      <c r="D39">
        <v>0.80855622883571299</v>
      </c>
      <c r="E39" s="6" t="s">
        <v>0</v>
      </c>
      <c r="F39" t="s">
        <v>862</v>
      </c>
    </row>
    <row r="40" spans="3:6" x14ac:dyDescent="0.25">
      <c r="C40" t="s">
        <v>829</v>
      </c>
      <c r="D40">
        <v>-2.469106618633899E-2</v>
      </c>
      <c r="E40" s="6" t="s">
        <v>0</v>
      </c>
      <c r="F40" t="s">
        <v>863</v>
      </c>
    </row>
    <row r="41" spans="3:6" x14ac:dyDescent="0.25">
      <c r="C41" t="s">
        <v>830</v>
      </c>
      <c r="D41">
        <v>-2.3922206141805489E-2</v>
      </c>
      <c r="E41" s="6" t="s">
        <v>0</v>
      </c>
      <c r="F41" t="s">
        <v>864</v>
      </c>
    </row>
    <row r="42" spans="3:6" x14ac:dyDescent="0.25">
      <c r="C42" t="s">
        <v>832</v>
      </c>
      <c r="D42">
        <v>0.94032795019740478</v>
      </c>
      <c r="E42" s="6" t="s">
        <v>0</v>
      </c>
      <c r="F42" t="s">
        <v>865</v>
      </c>
    </row>
    <row r="43" spans="3:6" x14ac:dyDescent="0.25">
      <c r="C43" t="s">
        <v>833</v>
      </c>
      <c r="D43">
        <v>0.94756863284113146</v>
      </c>
      <c r="E43" s="6" t="s">
        <v>0</v>
      </c>
      <c r="F43" t="s">
        <v>866</v>
      </c>
    </row>
    <row r="44" spans="3:6" x14ac:dyDescent="0.25">
      <c r="C44" s="205" t="s">
        <v>969</v>
      </c>
      <c r="D44">
        <v>1.11618130449523</v>
      </c>
      <c r="E44" s="6" t="s">
        <v>0</v>
      </c>
      <c r="F44" t="s">
        <v>867</v>
      </c>
    </row>
    <row r="45" spans="3:6" x14ac:dyDescent="0.25">
      <c r="C45" s="205" t="s">
        <v>983</v>
      </c>
      <c r="D45">
        <v>0.29986416997635029</v>
      </c>
      <c r="E45" s="6" t="s">
        <v>0</v>
      </c>
      <c r="F45" t="s">
        <v>868</v>
      </c>
    </row>
    <row r="46" spans="3:6" x14ac:dyDescent="0.25">
      <c r="C46" s="205" t="s">
        <v>984</v>
      </c>
      <c r="D46">
        <v>0.85762458634688188</v>
      </c>
      <c r="E46" s="6" t="s">
        <v>0</v>
      </c>
      <c r="F46" t="s">
        <v>869</v>
      </c>
    </row>
    <row r="47" spans="3:6" x14ac:dyDescent="0.25">
      <c r="C47" s="205" t="s">
        <v>985</v>
      </c>
      <c r="D47">
        <v>0.68887316941081111</v>
      </c>
      <c r="E47" s="6" t="s">
        <v>0</v>
      </c>
      <c r="F47" t="s">
        <v>870</v>
      </c>
    </row>
    <row r="48" spans="3:6" x14ac:dyDescent="0.25">
      <c r="C48" s="205" t="s">
        <v>986</v>
      </c>
      <c r="D48">
        <v>0.28381060228036231</v>
      </c>
      <c r="E48" s="6" t="s">
        <v>0</v>
      </c>
      <c r="F48" t="s">
        <v>871</v>
      </c>
    </row>
    <row r="49" spans="3:6" x14ac:dyDescent="0.25">
      <c r="C49" s="205" t="s">
        <v>987</v>
      </c>
      <c r="D49">
        <v>0.74393305058591253</v>
      </c>
      <c r="E49" s="6" t="s">
        <v>0</v>
      </c>
      <c r="F49" t="s">
        <v>872</v>
      </c>
    </row>
    <row r="50" spans="3:6" x14ac:dyDescent="0.25">
      <c r="C50" s="205" t="s">
        <v>988</v>
      </c>
      <c r="D50">
        <v>0.73855658713477379</v>
      </c>
      <c r="E50" s="6" t="s">
        <v>0</v>
      </c>
      <c r="F50" t="s">
        <v>873</v>
      </c>
    </row>
    <row r="51" spans="3:6" x14ac:dyDescent="0.25">
      <c r="C51" s="205" t="s">
        <v>989</v>
      </c>
      <c r="D51">
        <v>0.2281407609574547</v>
      </c>
      <c r="E51" s="6" t="s">
        <v>0</v>
      </c>
      <c r="F51" t="s">
        <v>874</v>
      </c>
    </row>
    <row r="52" spans="3:6" x14ac:dyDescent="0.25">
      <c r="C52" s="205" t="s">
        <v>990</v>
      </c>
      <c r="D52">
        <v>1.080763025022462</v>
      </c>
      <c r="E52" s="6" t="s">
        <v>0</v>
      </c>
      <c r="F52" t="s">
        <v>875</v>
      </c>
    </row>
    <row r="53" spans="3:6" x14ac:dyDescent="0.25">
      <c r="C53" s="205" t="s">
        <v>991</v>
      </c>
      <c r="D53">
        <v>0.32472440996417717</v>
      </c>
      <c r="E53" s="6" t="s">
        <v>0</v>
      </c>
      <c r="F53" t="s">
        <v>876</v>
      </c>
    </row>
    <row r="54" spans="3:6" x14ac:dyDescent="0.25">
      <c r="C54" s="205" t="s">
        <v>992</v>
      </c>
      <c r="D54">
        <v>1.1530177947591029</v>
      </c>
      <c r="E54" s="6" t="s">
        <v>0</v>
      </c>
      <c r="F54" t="s">
        <v>877</v>
      </c>
    </row>
    <row r="55" spans="3:6" x14ac:dyDescent="0.25">
      <c r="C55" s="205" t="s">
        <v>993</v>
      </c>
      <c r="D55">
        <v>0.34272991132433078</v>
      </c>
      <c r="E55" s="6" t="s">
        <v>0</v>
      </c>
      <c r="F55" t="s">
        <v>878</v>
      </c>
    </row>
    <row r="56" spans="3:6" x14ac:dyDescent="0.25">
      <c r="C56" s="205" t="s">
        <v>994</v>
      </c>
      <c r="D56">
        <v>1.0752379822602769</v>
      </c>
      <c r="E56" s="6" t="s">
        <v>0</v>
      </c>
      <c r="F56" t="s">
        <v>879</v>
      </c>
    </row>
    <row r="57" spans="3:6" x14ac:dyDescent="0.25">
      <c r="C57" s="205" t="s">
        <v>995</v>
      </c>
      <c r="D57">
        <v>1.401266388048874</v>
      </c>
      <c r="E57" s="6" t="s">
        <v>0</v>
      </c>
      <c r="F57" t="s">
        <v>880</v>
      </c>
    </row>
    <row r="58" spans="3:6" x14ac:dyDescent="0.25">
      <c r="C58" s="205" t="s">
        <v>996</v>
      </c>
      <c r="D58">
        <v>1.118530070618293</v>
      </c>
      <c r="E58" s="6" t="s">
        <v>0</v>
      </c>
      <c r="F58" t="s">
        <v>881</v>
      </c>
    </row>
    <row r="59" spans="3:6" x14ac:dyDescent="0.25">
      <c r="C59" s="205" t="s">
        <v>997</v>
      </c>
      <c r="D59">
        <v>1.303923986127882</v>
      </c>
      <c r="E59" s="6" t="s">
        <v>0</v>
      </c>
      <c r="F59" t="s">
        <v>882</v>
      </c>
    </row>
    <row r="60" spans="3:6" x14ac:dyDescent="0.25">
      <c r="C60" s="205" t="s">
        <v>998</v>
      </c>
      <c r="D60">
        <v>1.0006442771948729</v>
      </c>
      <c r="E60" s="6" t="s">
        <v>0</v>
      </c>
      <c r="F60" t="s">
        <v>883</v>
      </c>
    </row>
    <row r="61" spans="3:6" x14ac:dyDescent="0.25">
      <c r="C61" s="205" t="s">
        <v>999</v>
      </c>
      <c r="D61">
        <v>1.2462675482169561</v>
      </c>
      <c r="E61" s="6" t="s">
        <v>0</v>
      </c>
      <c r="F61" t="s">
        <v>884</v>
      </c>
    </row>
    <row r="62" spans="3:6" x14ac:dyDescent="0.25">
      <c r="C62" s="205" t="s">
        <v>1000</v>
      </c>
      <c r="D62">
        <v>1.0897093138445459</v>
      </c>
      <c r="E62" s="6" t="s">
        <v>0</v>
      </c>
      <c r="F62" t="s">
        <v>885</v>
      </c>
    </row>
    <row r="63" spans="3:6" x14ac:dyDescent="0.25">
      <c r="C63" s="205" t="s">
        <v>1001</v>
      </c>
      <c r="D63">
        <v>1.429753986527831</v>
      </c>
      <c r="E63" s="6" t="s">
        <v>0</v>
      </c>
      <c r="F63" t="s">
        <v>886</v>
      </c>
    </row>
    <row r="64" spans="3:6" x14ac:dyDescent="0.25">
      <c r="C64" s="205" t="s">
        <v>1002</v>
      </c>
      <c r="D64">
        <v>1.3967298880817409</v>
      </c>
      <c r="E64" s="6" t="s">
        <v>0</v>
      </c>
      <c r="F64" t="s">
        <v>887</v>
      </c>
    </row>
    <row r="65" spans="3:6" x14ac:dyDescent="0.25">
      <c r="C65" s="205" t="s">
        <v>1003</v>
      </c>
      <c r="D65">
        <v>0.71641761358088285</v>
      </c>
      <c r="E65" s="6" t="s">
        <v>0</v>
      </c>
      <c r="F65" t="s">
        <v>888</v>
      </c>
    </row>
    <row r="66" spans="3:6" x14ac:dyDescent="0.25">
      <c r="C66" s="205" t="s">
        <v>1004</v>
      </c>
      <c r="D66">
        <v>0.74430956181877117</v>
      </c>
      <c r="E66" s="6" t="s">
        <v>0</v>
      </c>
      <c r="F66" t="s">
        <v>889</v>
      </c>
    </row>
    <row r="67" spans="3:6" x14ac:dyDescent="0.25">
      <c r="C67" s="205" t="s">
        <v>1005</v>
      </c>
      <c r="D67">
        <v>0.67565438955443047</v>
      </c>
      <c r="E67" s="6" t="s">
        <v>0</v>
      </c>
      <c r="F67" t="s">
        <v>890</v>
      </c>
    </row>
    <row r="68" spans="3:6" x14ac:dyDescent="0.25">
      <c r="C68" s="205" t="s">
        <v>1006</v>
      </c>
      <c r="D68">
        <v>0.86489647235226175</v>
      </c>
      <c r="E68" s="6" t="s">
        <v>0</v>
      </c>
      <c r="F68" t="s">
        <v>891</v>
      </c>
    </row>
    <row r="69" spans="3:6" x14ac:dyDescent="0.25">
      <c r="C69" s="205" t="s">
        <v>1007</v>
      </c>
      <c r="D69">
        <v>0.7729540444011983</v>
      </c>
      <c r="E69" s="6" t="s">
        <v>0</v>
      </c>
      <c r="F69" t="s">
        <v>892</v>
      </c>
    </row>
    <row r="70" spans="3:6" x14ac:dyDescent="0.25">
      <c r="C70" s="205" t="s">
        <v>1008</v>
      </c>
      <c r="D70">
        <v>0.81828559334530027</v>
      </c>
      <c r="E70" s="6" t="s">
        <v>0</v>
      </c>
      <c r="F70" t="s">
        <v>893</v>
      </c>
    </row>
    <row r="71" spans="3:6" x14ac:dyDescent="0.25">
      <c r="C71" s="205" t="s">
        <v>1009</v>
      </c>
      <c r="D71">
        <v>-1.6482338753426171E-2</v>
      </c>
      <c r="E71" s="6" t="s">
        <v>0</v>
      </c>
      <c r="F71" t="s">
        <v>894</v>
      </c>
    </row>
    <row r="72" spans="3:6" x14ac:dyDescent="0.25">
      <c r="C72" s="205" t="s">
        <v>1010</v>
      </c>
      <c r="D72">
        <v>-1.968146566187369E-2</v>
      </c>
      <c r="E72" s="6" t="s">
        <v>0</v>
      </c>
      <c r="F72" t="s">
        <v>895</v>
      </c>
    </row>
    <row r="73" spans="3:6" x14ac:dyDescent="0.25">
      <c r="C73" s="205" t="s">
        <v>1011</v>
      </c>
      <c r="D73">
        <v>0.7671440380844482</v>
      </c>
      <c r="E73" s="6" t="s">
        <v>0</v>
      </c>
      <c r="F73" t="s">
        <v>896</v>
      </c>
    </row>
    <row r="74" spans="3:6" x14ac:dyDescent="0.25">
      <c r="C74" s="205" t="s">
        <v>1012</v>
      </c>
      <c r="D74">
        <v>0.79045397637937675</v>
      </c>
      <c r="E74" s="6" t="s">
        <v>0</v>
      </c>
      <c r="F74" t="s">
        <v>897</v>
      </c>
    </row>
    <row r="75" spans="3:6" x14ac:dyDescent="0.25">
      <c r="C75" s="205" t="s">
        <v>1013</v>
      </c>
      <c r="D75">
        <v>0.93891783182266686</v>
      </c>
      <c r="E75" s="6" t="s">
        <v>0</v>
      </c>
      <c r="F75" t="s">
        <v>898</v>
      </c>
    </row>
    <row r="76" spans="3:6" x14ac:dyDescent="0.25">
      <c r="C76" s="205" t="s">
        <v>1014</v>
      </c>
      <c r="D76">
        <v>1.3109337385351909</v>
      </c>
      <c r="E76" s="6" t="s">
        <v>0</v>
      </c>
      <c r="F76" t="s">
        <v>899</v>
      </c>
    </row>
    <row r="77" spans="3:6" x14ac:dyDescent="0.25">
      <c r="C77" s="205" t="s">
        <v>1015</v>
      </c>
      <c r="D77">
        <v>0.66990379130299005</v>
      </c>
      <c r="E77" s="6" t="s">
        <v>0</v>
      </c>
      <c r="F77" t="s">
        <v>900</v>
      </c>
    </row>
    <row r="78" spans="3:6" x14ac:dyDescent="0.25">
      <c r="C78" s="205" t="s">
        <v>1016</v>
      </c>
      <c r="D78">
        <v>0.74430956181877117</v>
      </c>
      <c r="E78" s="6" t="s">
        <v>0</v>
      </c>
      <c r="F78" t="s">
        <v>901</v>
      </c>
    </row>
    <row r="79" spans="3:6" x14ac:dyDescent="0.25">
      <c r="C79" s="205" t="s">
        <v>1017</v>
      </c>
      <c r="D79">
        <v>0.87081341575373017</v>
      </c>
      <c r="E79" s="6" t="s">
        <v>0</v>
      </c>
      <c r="F79" t="s">
        <v>902</v>
      </c>
    </row>
    <row r="80" spans="3:6" x14ac:dyDescent="0.25">
      <c r="C80" s="205" t="s">
        <v>1018</v>
      </c>
      <c r="D80">
        <v>0.57743502945375991</v>
      </c>
      <c r="E80" s="6" t="s">
        <v>0</v>
      </c>
      <c r="F80" t="s">
        <v>903</v>
      </c>
    </row>
    <row r="81" spans="3:6" x14ac:dyDescent="0.25">
      <c r="C81" s="205" t="s">
        <v>1019</v>
      </c>
      <c r="D81">
        <v>0.57264949774480878</v>
      </c>
      <c r="E81" s="6" t="s">
        <v>0</v>
      </c>
      <c r="F81" t="s">
        <v>904</v>
      </c>
    </row>
    <row r="82" spans="3:6" x14ac:dyDescent="0.25">
      <c r="C82" s="205" t="s">
        <v>1020</v>
      </c>
      <c r="D82">
        <v>0.71767543689007995</v>
      </c>
      <c r="E82" s="6" t="s">
        <v>0</v>
      </c>
      <c r="F82" t="s">
        <v>905</v>
      </c>
    </row>
    <row r="83" spans="3:6" x14ac:dyDescent="0.25">
      <c r="C83" s="205" t="s">
        <v>1021</v>
      </c>
      <c r="D83">
        <v>0.92771399647553088</v>
      </c>
      <c r="E83" s="6" t="s">
        <v>0</v>
      </c>
      <c r="F83" t="s">
        <v>906</v>
      </c>
    </row>
    <row r="84" spans="3:6" x14ac:dyDescent="0.25">
      <c r="C84" s="205" t="s">
        <v>1022</v>
      </c>
      <c r="D84">
        <v>1.3156757578908409</v>
      </c>
      <c r="E84" s="6" t="s">
        <v>0</v>
      </c>
      <c r="F84" t="s">
        <v>907</v>
      </c>
    </row>
    <row r="85" spans="3:6" x14ac:dyDescent="0.25">
      <c r="C85" s="205" t="s">
        <v>1023</v>
      </c>
      <c r="D85">
        <v>1.2248001480370521</v>
      </c>
      <c r="E85" s="6" t="s">
        <v>0</v>
      </c>
      <c r="F85" t="s">
        <v>908</v>
      </c>
    </row>
    <row r="86" spans="3:6" x14ac:dyDescent="0.25">
      <c r="C86" s="205" t="s">
        <v>1024</v>
      </c>
      <c r="D86">
        <v>1.6940404456869</v>
      </c>
      <c r="E86" s="6" t="s">
        <v>0</v>
      </c>
      <c r="F86" t="s">
        <v>909</v>
      </c>
    </row>
    <row r="87" spans="3:6" x14ac:dyDescent="0.25">
      <c r="C87" s="205" t="s">
        <v>1025</v>
      </c>
      <c r="D87">
        <v>0.85801788671874712</v>
      </c>
      <c r="E87" s="6" t="s">
        <v>0</v>
      </c>
      <c r="F87" t="s">
        <v>910</v>
      </c>
    </row>
    <row r="88" spans="3:6" x14ac:dyDescent="0.25">
      <c r="C88" s="205" t="s">
        <v>1026</v>
      </c>
      <c r="D88">
        <v>0.19850002546049789</v>
      </c>
      <c r="E88" s="6" t="s">
        <v>0</v>
      </c>
      <c r="F88" t="s">
        <v>911</v>
      </c>
    </row>
    <row r="89" spans="3:6" x14ac:dyDescent="0.25">
      <c r="C89" s="205" t="s">
        <v>1027</v>
      </c>
      <c r="D89">
        <v>0.74299742298240889</v>
      </c>
      <c r="E89" s="6" t="s">
        <v>0</v>
      </c>
      <c r="F89" t="s">
        <v>912</v>
      </c>
    </row>
    <row r="90" spans="3:6" x14ac:dyDescent="0.25">
      <c r="C90" s="205" t="s">
        <v>1028</v>
      </c>
      <c r="D90">
        <v>0.27311459465307331</v>
      </c>
      <c r="E90" s="6" t="s">
        <v>0</v>
      </c>
      <c r="F90" t="s">
        <v>913</v>
      </c>
    </row>
    <row r="91" spans="3:6" x14ac:dyDescent="0.25">
      <c r="C91" s="205" t="s">
        <v>1029</v>
      </c>
      <c r="D91">
        <v>0.98773021550772733</v>
      </c>
      <c r="E91" s="6" t="s">
        <v>0</v>
      </c>
      <c r="F91" t="s">
        <v>914</v>
      </c>
    </row>
    <row r="92" spans="3:6" x14ac:dyDescent="0.25">
      <c r="C92" s="205" t="s">
        <v>1030</v>
      </c>
      <c r="D92">
        <v>0.27403377599467038</v>
      </c>
      <c r="E92" s="6" t="s">
        <v>0</v>
      </c>
      <c r="F92" t="s">
        <v>915</v>
      </c>
    </row>
    <row r="93" spans="3:6" x14ac:dyDescent="0.25">
      <c r="C93" s="205" t="s">
        <v>1031</v>
      </c>
      <c r="D93">
        <v>0.8713962312611806</v>
      </c>
      <c r="E93" s="6" t="s">
        <v>0</v>
      </c>
      <c r="F93" t="s">
        <v>916</v>
      </c>
    </row>
    <row r="94" spans="3:6" x14ac:dyDescent="0.25">
      <c r="C94" s="205" t="s">
        <v>1032</v>
      </c>
      <c r="D94">
        <v>0.22230949363166741</v>
      </c>
      <c r="E94" s="6" t="s">
        <v>0</v>
      </c>
      <c r="F94" t="s">
        <v>917</v>
      </c>
    </row>
    <row r="95" spans="3:6" x14ac:dyDescent="0.25">
      <c r="C95" s="205" t="s">
        <v>1033</v>
      </c>
      <c r="D95">
        <v>0.22582707554538209</v>
      </c>
      <c r="E95" s="6" t="s">
        <v>0</v>
      </c>
      <c r="F95" t="s">
        <v>918</v>
      </c>
    </row>
    <row r="96" spans="3:6" x14ac:dyDescent="0.25">
      <c r="C96" s="205" t="s">
        <v>1034</v>
      </c>
      <c r="D96">
        <v>1.086848840216583</v>
      </c>
      <c r="E96" s="6" t="s">
        <v>0</v>
      </c>
      <c r="F96" t="s">
        <v>919</v>
      </c>
    </row>
    <row r="97" spans="3:6" x14ac:dyDescent="0.25">
      <c r="C97" s="205" t="s">
        <v>1035</v>
      </c>
      <c r="D97">
        <v>0.9333688927833228</v>
      </c>
      <c r="E97" s="6" t="s">
        <v>0</v>
      </c>
      <c r="F97" t="s">
        <v>920</v>
      </c>
    </row>
    <row r="98" spans="3:6" x14ac:dyDescent="0.25">
      <c r="C98" s="205" t="s">
        <v>1036</v>
      </c>
      <c r="D98">
        <v>1.5443360451135639</v>
      </c>
      <c r="E98" s="6" t="s">
        <v>0</v>
      </c>
      <c r="F98" t="s">
        <v>921</v>
      </c>
    </row>
    <row r="99" spans="3:6" x14ac:dyDescent="0.25">
      <c r="C99" s="205" t="s">
        <v>1037</v>
      </c>
      <c r="D99">
        <v>1.006708468361317</v>
      </c>
      <c r="E99" s="6" t="s">
        <v>0</v>
      </c>
      <c r="F99" t="s">
        <v>922</v>
      </c>
    </row>
    <row r="100" spans="3:6" x14ac:dyDescent="0.25">
      <c r="C100" s="205" t="s">
        <v>1038</v>
      </c>
      <c r="D100">
        <v>1.3826420349069539</v>
      </c>
      <c r="E100" s="6" t="s">
        <v>0</v>
      </c>
      <c r="F100" t="s">
        <v>923</v>
      </c>
    </row>
    <row r="101" spans="3:6" x14ac:dyDescent="0.25">
      <c r="C101" s="205" t="s">
        <v>1039</v>
      </c>
      <c r="D101">
        <v>1.0000938464838769</v>
      </c>
      <c r="E101" s="6" t="s">
        <v>0</v>
      </c>
      <c r="F101" t="s">
        <v>924</v>
      </c>
    </row>
    <row r="102" spans="3:6" x14ac:dyDescent="0.25">
      <c r="C102" s="205" t="s">
        <v>1040</v>
      </c>
      <c r="D102">
        <v>-6.1588783514397128E-3</v>
      </c>
      <c r="E102" s="6" t="s">
        <v>0</v>
      </c>
      <c r="F102" t="s">
        <v>925</v>
      </c>
    </row>
    <row r="103" spans="3:6" x14ac:dyDescent="0.25">
      <c r="C103" s="205" t="s">
        <v>1041</v>
      </c>
      <c r="D103">
        <v>-3.7821679032148882E-3</v>
      </c>
      <c r="E103" s="6" t="s">
        <v>0</v>
      </c>
      <c r="F103" t="s">
        <v>926</v>
      </c>
    </row>
    <row r="104" spans="3:6" x14ac:dyDescent="0.25">
      <c r="C104" s="205" t="s">
        <v>1042</v>
      </c>
      <c r="D104">
        <v>1.248236672715392</v>
      </c>
      <c r="E104" s="6" t="s">
        <v>0</v>
      </c>
      <c r="F104" t="s">
        <v>927</v>
      </c>
    </row>
    <row r="105" spans="3:6" x14ac:dyDescent="0.25">
      <c r="C105" s="205" t="s">
        <v>1043</v>
      </c>
      <c r="D105">
        <v>1.2348673245452491</v>
      </c>
      <c r="E105" s="6" t="s">
        <v>0</v>
      </c>
      <c r="F105" t="s">
        <v>928</v>
      </c>
    </row>
    <row r="106" spans="3:6" x14ac:dyDescent="0.25">
      <c r="C106" s="205" t="s">
        <v>1044</v>
      </c>
      <c r="D106">
        <v>1.2091874208164499</v>
      </c>
      <c r="E106" s="6" t="s">
        <v>0</v>
      </c>
      <c r="F106" t="s">
        <v>929</v>
      </c>
    </row>
    <row r="107" spans="3:6" x14ac:dyDescent="0.25">
      <c r="C107" s="205" t="s">
        <v>1045</v>
      </c>
      <c r="D107">
        <v>0.23496619163846211</v>
      </c>
      <c r="E107" s="6" t="s">
        <v>0</v>
      </c>
      <c r="F107" t="s">
        <v>930</v>
      </c>
    </row>
    <row r="108" spans="3:6" x14ac:dyDescent="0.25">
      <c r="C108" s="205" t="s">
        <v>1046</v>
      </c>
      <c r="D108">
        <v>1.303852461747784</v>
      </c>
      <c r="E108" s="6" t="s">
        <v>0</v>
      </c>
      <c r="F108" t="s">
        <v>931</v>
      </c>
    </row>
    <row r="109" spans="3:6" x14ac:dyDescent="0.25">
      <c r="C109" s="205" t="s">
        <v>1047</v>
      </c>
      <c r="D109">
        <v>0.9333688927833228</v>
      </c>
      <c r="E109" s="6" t="s">
        <v>0</v>
      </c>
      <c r="F109" t="s">
        <v>932</v>
      </c>
    </row>
    <row r="110" spans="3:6" x14ac:dyDescent="0.25">
      <c r="C110" s="205" t="s">
        <v>1048</v>
      </c>
      <c r="D110">
        <v>0.34034355194690169</v>
      </c>
      <c r="E110" s="6" t="s">
        <v>0</v>
      </c>
      <c r="F110" t="s">
        <v>933</v>
      </c>
    </row>
    <row r="111" spans="3:6" x14ac:dyDescent="0.25">
      <c r="C111" s="205" t="s">
        <v>1049</v>
      </c>
      <c r="D111">
        <v>1.3061356696865201</v>
      </c>
      <c r="E111" s="6" t="s">
        <v>0</v>
      </c>
      <c r="F111" t="s">
        <v>934</v>
      </c>
    </row>
    <row r="112" spans="3:6" x14ac:dyDescent="0.25">
      <c r="C112" s="205" t="s">
        <v>1050</v>
      </c>
      <c r="D112">
        <v>1.3015189636018949</v>
      </c>
      <c r="E112" s="6" t="s">
        <v>0</v>
      </c>
      <c r="F112" t="s">
        <v>935</v>
      </c>
    </row>
    <row r="113" spans="3:6" x14ac:dyDescent="0.25">
      <c r="C113" s="205" t="s">
        <v>1051</v>
      </c>
      <c r="D113">
        <v>0.34203772537735622</v>
      </c>
      <c r="E113" s="6" t="s">
        <v>0</v>
      </c>
      <c r="F113" t="s">
        <v>936</v>
      </c>
    </row>
    <row r="114" spans="3:6" x14ac:dyDescent="0.25">
      <c r="C114" s="205" t="s">
        <v>1052</v>
      </c>
      <c r="D114">
        <v>1.186723923110615</v>
      </c>
      <c r="E114" s="6" t="s">
        <v>0</v>
      </c>
      <c r="F114" t="s">
        <v>937</v>
      </c>
    </row>
    <row r="115" spans="3:6" x14ac:dyDescent="0.25">
      <c r="C115" s="205" t="s">
        <v>1053</v>
      </c>
      <c r="D115">
        <v>0.25419250804359678</v>
      </c>
      <c r="E115" s="6" t="s">
        <v>0</v>
      </c>
      <c r="F115" t="s">
        <v>938</v>
      </c>
    </row>
    <row r="116" spans="3:6" x14ac:dyDescent="0.25">
      <c r="C116" s="205" t="s">
        <v>1054</v>
      </c>
      <c r="D116">
        <v>0.96521396065861842</v>
      </c>
      <c r="E116" s="6" t="s">
        <v>0</v>
      </c>
      <c r="F116" t="s">
        <v>939</v>
      </c>
    </row>
    <row r="117" spans="3:6" x14ac:dyDescent="0.25">
      <c r="C117" s="205" t="s">
        <v>1055</v>
      </c>
      <c r="D117">
        <v>0.21208816877826209</v>
      </c>
      <c r="E117" s="6" t="s">
        <v>0</v>
      </c>
      <c r="F117" t="s">
        <v>940</v>
      </c>
    </row>
    <row r="118" spans="3:6" x14ac:dyDescent="0.25">
      <c r="C118" s="205" t="s">
        <v>941</v>
      </c>
      <c r="D118">
        <v>-13.34228187919463</v>
      </c>
      <c r="E118" s="6" t="s">
        <v>0</v>
      </c>
      <c r="F118" t="s">
        <v>941</v>
      </c>
    </row>
    <row r="119" spans="3:6" x14ac:dyDescent="0.25">
      <c r="C119" t="s">
        <v>834</v>
      </c>
      <c r="D119">
        <v>0.93891215680503748</v>
      </c>
      <c r="E119" s="6" t="s">
        <v>0</v>
      </c>
      <c r="F119" t="s">
        <v>942</v>
      </c>
    </row>
    <row r="120" spans="3:6" x14ac:dyDescent="0.25">
      <c r="C120" t="s">
        <v>835</v>
      </c>
      <c r="D120">
        <v>0.73036120430356599</v>
      </c>
      <c r="E120" s="6" t="s">
        <v>0</v>
      </c>
      <c r="F120" t="s">
        <v>943</v>
      </c>
    </row>
    <row r="121" spans="3:6" x14ac:dyDescent="0.25">
      <c r="C121" t="s">
        <v>837</v>
      </c>
      <c r="D121">
        <v>0.90235654510735674</v>
      </c>
      <c r="E121" s="6" t="s">
        <v>0</v>
      </c>
      <c r="F121" t="s">
        <v>944</v>
      </c>
    </row>
    <row r="122" spans="3:6" x14ac:dyDescent="0.25">
      <c r="C122" t="s">
        <v>838</v>
      </c>
      <c r="D122">
        <v>0.79830318769400144</v>
      </c>
      <c r="E122" s="6" t="s">
        <v>0</v>
      </c>
      <c r="F122" t="s">
        <v>945</v>
      </c>
    </row>
    <row r="123" spans="3:6" x14ac:dyDescent="0.25">
      <c r="C123" t="s">
        <v>840</v>
      </c>
      <c r="D123">
        <v>0.99954397516295967</v>
      </c>
      <c r="E123" s="6" t="s">
        <v>0</v>
      </c>
      <c r="F123" t="s">
        <v>946</v>
      </c>
    </row>
    <row r="124" spans="3:6" x14ac:dyDescent="0.25">
      <c r="C124" t="s">
        <v>841</v>
      </c>
      <c r="D124">
        <v>0.86597437882091677</v>
      </c>
      <c r="E124" s="6" t="s">
        <v>0</v>
      </c>
      <c r="F124" t="s">
        <v>947</v>
      </c>
    </row>
    <row r="125" spans="3:6" x14ac:dyDescent="0.25">
      <c r="C125" t="s">
        <v>844</v>
      </c>
      <c r="D125">
        <v>0.92762722617788618</v>
      </c>
      <c r="E125" s="6" t="s">
        <v>0</v>
      </c>
      <c r="F125" t="s">
        <v>948</v>
      </c>
    </row>
    <row r="126" spans="3:6" x14ac:dyDescent="0.25">
      <c r="C126" s="205" t="s">
        <v>1056</v>
      </c>
      <c r="D126">
        <v>0.73569948928852247</v>
      </c>
      <c r="E126" s="6" t="s">
        <v>0</v>
      </c>
      <c r="F126" t="s">
        <v>949</v>
      </c>
    </row>
    <row r="127" spans="3:6" x14ac:dyDescent="0.25">
      <c r="C127" s="205" t="s">
        <v>814</v>
      </c>
      <c r="D127">
        <v>0.74758867389374639</v>
      </c>
      <c r="E127" s="6" t="s">
        <v>0</v>
      </c>
      <c r="F127" t="s">
        <v>950</v>
      </c>
    </row>
    <row r="128" spans="3:6" x14ac:dyDescent="0.25">
      <c r="C128" s="205" t="s">
        <v>1057</v>
      </c>
      <c r="D128">
        <v>1.4080629521787209</v>
      </c>
      <c r="E128" s="6" t="s">
        <v>0</v>
      </c>
      <c r="F128" t="s">
        <v>951</v>
      </c>
    </row>
    <row r="129" spans="1:7" x14ac:dyDescent="0.25">
      <c r="C129" t="s">
        <v>836</v>
      </c>
      <c r="D129">
        <v>1.3512187322610889</v>
      </c>
      <c r="E129" s="6" t="s">
        <v>0</v>
      </c>
      <c r="F129" t="s">
        <v>952</v>
      </c>
    </row>
    <row r="130" spans="1:7" x14ac:dyDescent="0.25">
      <c r="C130" s="205" t="s">
        <v>1058</v>
      </c>
      <c r="D130">
        <v>1.560117588861349</v>
      </c>
      <c r="E130" s="6" t="s">
        <v>0</v>
      </c>
      <c r="F130" t="s">
        <v>953</v>
      </c>
    </row>
    <row r="131" spans="1:7" x14ac:dyDescent="0.25">
      <c r="C131" t="s">
        <v>839</v>
      </c>
      <c r="D131">
        <v>1.1643911735223791</v>
      </c>
      <c r="E131" s="6" t="s">
        <v>0</v>
      </c>
      <c r="F131" t="s">
        <v>954</v>
      </c>
    </row>
    <row r="132" spans="1:7" x14ac:dyDescent="0.25">
      <c r="C132" s="205" t="s">
        <v>1059</v>
      </c>
      <c r="D132">
        <v>1.303662046752992</v>
      </c>
      <c r="E132" s="6" t="s">
        <v>0</v>
      </c>
      <c r="F132" t="s">
        <v>955</v>
      </c>
    </row>
    <row r="133" spans="1:7" x14ac:dyDescent="0.25">
      <c r="C133" s="205" t="s">
        <v>1060</v>
      </c>
      <c r="D133">
        <v>1.2526113987618199</v>
      </c>
      <c r="E133" s="6" t="s">
        <v>0</v>
      </c>
      <c r="F133" t="s">
        <v>956</v>
      </c>
    </row>
    <row r="134" spans="1:7" x14ac:dyDescent="0.25">
      <c r="C134" t="s">
        <v>842</v>
      </c>
      <c r="D134">
        <v>1.220045320542313E-2</v>
      </c>
      <c r="E134" s="6" t="s">
        <v>0</v>
      </c>
      <c r="F134" t="s">
        <v>957</v>
      </c>
    </row>
    <row r="135" spans="1:7" x14ac:dyDescent="0.25">
      <c r="C135" t="s">
        <v>843</v>
      </c>
      <c r="D135">
        <v>1.224590520189844E-2</v>
      </c>
      <c r="E135" s="6" t="s">
        <v>0</v>
      </c>
      <c r="F135" t="s">
        <v>958</v>
      </c>
    </row>
    <row r="136" spans="1:7" x14ac:dyDescent="0.25">
      <c r="C136" t="s">
        <v>845</v>
      </c>
      <c r="D136">
        <v>1.326487160221423</v>
      </c>
      <c r="E136" s="6" t="s">
        <v>0</v>
      </c>
      <c r="F136" t="s">
        <v>959</v>
      </c>
    </row>
    <row r="137" spans="1:7" x14ac:dyDescent="0.25">
      <c r="C137" t="s">
        <v>846</v>
      </c>
      <c r="D137">
        <v>1.3154980006997969</v>
      </c>
      <c r="E137" s="6" t="s">
        <v>0</v>
      </c>
      <c r="F137" t="s">
        <v>960</v>
      </c>
    </row>
    <row r="138" spans="1:7" x14ac:dyDescent="0.25">
      <c r="C138" s="10" t="s">
        <v>353</v>
      </c>
      <c r="D138" s="204">
        <v>0</v>
      </c>
      <c r="E138" s="207" t="s">
        <v>0</v>
      </c>
      <c r="F138" s="206" t="s">
        <v>817</v>
      </c>
    </row>
    <row r="139" spans="1:7" x14ac:dyDescent="0.25">
      <c r="B139" t="s">
        <v>50</v>
      </c>
    </row>
    <row r="140" spans="1:7" x14ac:dyDescent="0.25">
      <c r="A140" t="s">
        <v>0</v>
      </c>
    </row>
    <row r="141" spans="1:7" x14ac:dyDescent="0.25">
      <c r="A141" t="s">
        <v>0</v>
      </c>
    </row>
    <row r="142" spans="1:7" x14ac:dyDescent="0.25">
      <c r="B142" s="145" t="s">
        <v>1067</v>
      </c>
      <c r="C142" s="145"/>
      <c r="D142" s="146"/>
      <c r="E142" s="146"/>
      <c r="F142" s="146"/>
    </row>
    <row r="143" spans="1:7" x14ac:dyDescent="0.25">
      <c r="C143" s="147" t="s">
        <v>1069</v>
      </c>
      <c r="D143" s="147" t="s">
        <v>1078</v>
      </c>
      <c r="E143" s="147" t="s">
        <v>1073</v>
      </c>
      <c r="F143" s="211" t="s">
        <v>1077</v>
      </c>
      <c r="G143" s="211" t="s">
        <v>1074</v>
      </c>
    </row>
    <row r="144" spans="1:7" x14ac:dyDescent="0.25">
      <c r="C144" s="1" t="s">
        <v>1070</v>
      </c>
      <c r="D144" s="61">
        <v>-999</v>
      </c>
      <c r="E144" s="61">
        <v>-999</v>
      </c>
      <c r="F144" s="1">
        <v>6</v>
      </c>
      <c r="G144" s="1">
        <v>22</v>
      </c>
    </row>
    <row r="145" spans="1:12" x14ac:dyDescent="0.25">
      <c r="C145" s="209" t="s">
        <v>1071</v>
      </c>
      <c r="D145" s="1">
        <v>6</v>
      </c>
      <c r="E145" s="1">
        <v>1</v>
      </c>
      <c r="F145" s="203">
        <v>1.7772312730847999</v>
      </c>
      <c r="G145" s="203">
        <v>6.5165146679776598</v>
      </c>
    </row>
    <row r="146" spans="1:12" x14ac:dyDescent="0.25">
      <c r="C146" s="209" t="s">
        <v>1072</v>
      </c>
      <c r="D146" s="1">
        <v>22</v>
      </c>
      <c r="E146" s="1">
        <v>2.4</v>
      </c>
      <c r="F146" s="203">
        <v>2.1046299727964199</v>
      </c>
      <c r="G146" s="203">
        <v>7.7169765669202297</v>
      </c>
    </row>
    <row r="147" spans="1:12" x14ac:dyDescent="0.25">
      <c r="B147" t="s">
        <v>50</v>
      </c>
    </row>
    <row r="148" spans="1:12" x14ac:dyDescent="0.25">
      <c r="A148" t="s">
        <v>0</v>
      </c>
    </row>
    <row r="149" spans="1:12" x14ac:dyDescent="0.25">
      <c r="A149" t="s">
        <v>0</v>
      </c>
    </row>
    <row r="150" spans="1:12" x14ac:dyDescent="0.25">
      <c r="A150" t="s">
        <v>0</v>
      </c>
      <c r="F150" s="24" t="s">
        <v>1082</v>
      </c>
      <c r="G150" s="24" t="s">
        <v>1083</v>
      </c>
      <c r="H150" s="24" t="s">
        <v>1084</v>
      </c>
      <c r="I150" s="24"/>
      <c r="J150" s="24"/>
      <c r="K150" s="24"/>
      <c r="L150" s="24"/>
    </row>
    <row r="151" spans="1:12" x14ac:dyDescent="0.25">
      <c r="A151" t="s">
        <v>0</v>
      </c>
      <c r="C151" s="24" t="s">
        <v>1079</v>
      </c>
      <c r="D151" s="213" t="s">
        <v>1080</v>
      </c>
      <c r="E151" s="6">
        <v>19</v>
      </c>
      <c r="F151" s="24">
        <f>(E151-F155)/(G155-F155)</f>
        <v>0.47619047619047616</v>
      </c>
      <c r="G151" s="24">
        <f>F156+(F151*(G156-F156))</f>
        <v>5.4825862512771142</v>
      </c>
      <c r="H151" s="24"/>
      <c r="I151" s="24"/>
      <c r="J151" s="24"/>
      <c r="K151" s="24"/>
      <c r="L151" s="24"/>
    </row>
    <row r="152" spans="1:12" x14ac:dyDescent="0.25">
      <c r="A152" t="s">
        <v>0</v>
      </c>
      <c r="C152" s="24"/>
      <c r="D152" s="213" t="s">
        <v>1081</v>
      </c>
      <c r="E152" s="6">
        <v>1.4615400000000001</v>
      </c>
      <c r="F152" s="24">
        <f>(E152-E156)/(E157-E156)</f>
        <v>0.61785809906291833</v>
      </c>
      <c r="G152" s="24">
        <f>F157+(F151*(G157-F157))</f>
        <v>8.1335991195659769</v>
      </c>
      <c r="H152" s="24">
        <f>G151+(F152*(G152-G151))</f>
        <v>7.1205360226694054</v>
      </c>
      <c r="I152" s="24"/>
      <c r="J152" s="24"/>
      <c r="K152" s="24"/>
      <c r="L152" s="24"/>
    </row>
    <row r="153" spans="1:12" x14ac:dyDescent="0.25">
      <c r="B153" s="145" t="s">
        <v>1068</v>
      </c>
      <c r="C153" s="145"/>
      <c r="D153" s="146"/>
      <c r="E153" s="146"/>
      <c r="F153" s="146"/>
    </row>
    <row r="154" spans="1:12" x14ac:dyDescent="0.25">
      <c r="C154" s="147" t="s">
        <v>1069</v>
      </c>
      <c r="D154" s="147" t="s">
        <v>1078</v>
      </c>
      <c r="E154" s="147" t="s">
        <v>1073</v>
      </c>
      <c r="F154" s="211" t="s">
        <v>1077</v>
      </c>
      <c r="G154" s="211" t="s">
        <v>1074</v>
      </c>
      <c r="H154" s="211" t="s">
        <v>1075</v>
      </c>
    </row>
    <row r="155" spans="1:12" x14ac:dyDescent="0.25">
      <c r="C155" s="1" t="s">
        <v>1070</v>
      </c>
      <c r="D155" s="61">
        <v>-999</v>
      </c>
      <c r="E155" s="61">
        <v>-999</v>
      </c>
      <c r="F155" s="1">
        <v>14</v>
      </c>
      <c r="G155" s="1">
        <v>24.5</v>
      </c>
      <c r="H155" s="1">
        <v>35</v>
      </c>
    </row>
    <row r="156" spans="1:12" x14ac:dyDescent="0.25">
      <c r="C156" s="209" t="s">
        <v>1071</v>
      </c>
      <c r="D156" s="210">
        <v>14</v>
      </c>
      <c r="E156" s="214">
        <v>1</v>
      </c>
      <c r="F156" s="208">
        <v>4.0472407657688896</v>
      </c>
      <c r="G156" s="208">
        <v>7.0614662853361603</v>
      </c>
      <c r="H156" s="208">
        <v>10.0579689809278</v>
      </c>
    </row>
    <row r="157" spans="1:12" x14ac:dyDescent="0.25">
      <c r="C157" s="212" t="s">
        <v>1074</v>
      </c>
      <c r="D157" s="61">
        <v>-999</v>
      </c>
      <c r="E157" s="214">
        <v>1.7470000000000001</v>
      </c>
      <c r="F157" s="208">
        <v>6.1745806457053201</v>
      </c>
      <c r="G157" s="208">
        <v>10.288519440812699</v>
      </c>
      <c r="H157" s="208">
        <v>14.0528614685423</v>
      </c>
    </row>
    <row r="158" spans="1:12" x14ac:dyDescent="0.25">
      <c r="C158" s="212" t="s">
        <v>1075</v>
      </c>
      <c r="D158" s="61">
        <v>-999</v>
      </c>
      <c r="E158" s="214">
        <v>2.12</v>
      </c>
      <c r="F158" s="208">
        <v>14.2402417304402</v>
      </c>
      <c r="G158" s="208">
        <v>23.261833752330102</v>
      </c>
      <c r="H158" s="208">
        <v>30.962188370029502</v>
      </c>
    </row>
    <row r="159" spans="1:12" x14ac:dyDescent="0.25">
      <c r="C159" s="212" t="s">
        <v>1076</v>
      </c>
      <c r="D159" s="61">
        <v>-999</v>
      </c>
      <c r="E159" s="214">
        <v>2.3069999999999999</v>
      </c>
      <c r="F159" s="208">
        <v>19.5080882760811</v>
      </c>
      <c r="G159" s="208">
        <v>31.842461807964899</v>
      </c>
      <c r="H159" s="208">
        <v>42.388314683006897</v>
      </c>
    </row>
    <row r="160" spans="1:12" x14ac:dyDescent="0.25">
      <c r="C160" s="209" t="s">
        <v>1072</v>
      </c>
      <c r="D160" s="210">
        <v>35</v>
      </c>
      <c r="E160" s="214">
        <v>2.4</v>
      </c>
      <c r="F160" s="208">
        <v>23.0287784144776</v>
      </c>
      <c r="G160" s="208">
        <v>37.512878873992399</v>
      </c>
      <c r="H160" s="208">
        <v>49.8631679938944</v>
      </c>
    </row>
    <row r="161" spans="1:10" x14ac:dyDescent="0.25">
      <c r="B161" t="s">
        <v>50</v>
      </c>
    </row>
    <row r="162" spans="1:10" x14ac:dyDescent="0.25">
      <c r="A162" t="s">
        <v>0</v>
      </c>
    </row>
    <row r="163" spans="1:10" x14ac:dyDescent="0.25">
      <c r="A163" t="s">
        <v>0</v>
      </c>
    </row>
    <row r="164" spans="1:10" x14ac:dyDescent="0.25">
      <c r="B164" s="145" t="s">
        <v>1085</v>
      </c>
      <c r="C164" s="145"/>
      <c r="D164" s="146"/>
      <c r="E164" s="146"/>
      <c r="F164" s="146"/>
    </row>
    <row r="165" spans="1:10" x14ac:dyDescent="0.25">
      <c r="C165" s="147" t="s">
        <v>1069</v>
      </c>
      <c r="D165" s="147" t="s">
        <v>1088</v>
      </c>
      <c r="E165" s="147" t="s">
        <v>1089</v>
      </c>
      <c r="F165" s="211" t="s">
        <v>1077</v>
      </c>
      <c r="G165" s="211" t="s">
        <v>1074</v>
      </c>
      <c r="H165" s="211" t="s">
        <v>1075</v>
      </c>
      <c r="I165" s="211" t="s">
        <v>1076</v>
      </c>
      <c r="J165" s="211" t="s">
        <v>1087</v>
      </c>
    </row>
    <row r="166" spans="1:10" x14ac:dyDescent="0.25">
      <c r="C166" s="1" t="s">
        <v>1086</v>
      </c>
      <c r="D166" s="61">
        <v>-999</v>
      </c>
      <c r="E166" s="61">
        <v>-999</v>
      </c>
      <c r="F166" s="1">
        <v>5</v>
      </c>
      <c r="G166" s="1">
        <v>6.5</v>
      </c>
      <c r="H166" s="1">
        <v>8</v>
      </c>
      <c r="I166" s="1">
        <v>9.5</v>
      </c>
      <c r="J166" s="1">
        <v>11</v>
      </c>
    </row>
    <row r="167" spans="1:10" x14ac:dyDescent="0.25">
      <c r="C167" s="209" t="s">
        <v>1071</v>
      </c>
      <c r="D167" s="210">
        <v>5</v>
      </c>
      <c r="E167" s="214">
        <v>0.5</v>
      </c>
      <c r="F167" s="208">
        <v>1.97075256891674</v>
      </c>
      <c r="G167" s="208">
        <v>2.8444383206836301</v>
      </c>
      <c r="H167" s="208">
        <v>3.9326226591917002</v>
      </c>
      <c r="I167" s="208">
        <v>5.3269916570599696</v>
      </c>
      <c r="J167" s="208">
        <v>7.1779300540934097</v>
      </c>
    </row>
    <row r="168" spans="1:10" x14ac:dyDescent="0.25">
      <c r="C168" s="212" t="s">
        <v>1074</v>
      </c>
      <c r="D168" s="61">
        <v>-999</v>
      </c>
      <c r="E168" s="214">
        <v>0.53300000000000003</v>
      </c>
      <c r="F168" s="208">
        <v>1.96284432544732</v>
      </c>
      <c r="G168" s="208">
        <v>2.8005516945156299</v>
      </c>
      <c r="H168" s="208">
        <v>3.8193107805482698</v>
      </c>
      <c r="I168" s="208">
        <v>5.0849283328115904</v>
      </c>
      <c r="J168" s="208">
        <v>6.6994992979074697</v>
      </c>
    </row>
    <row r="169" spans="1:10" x14ac:dyDescent="0.25">
      <c r="C169" s="212" t="s">
        <v>1075</v>
      </c>
      <c r="D169" s="61">
        <v>-999</v>
      </c>
      <c r="E169" s="214">
        <v>0.6</v>
      </c>
      <c r="F169" s="208">
        <v>1.9458491393528901</v>
      </c>
      <c r="G169" s="208">
        <v>2.7204932493267502</v>
      </c>
      <c r="H169" s="208">
        <v>3.6215925755201099</v>
      </c>
      <c r="I169" s="208">
        <v>4.68286348872397</v>
      </c>
      <c r="J169" s="208">
        <v>5.9511778179594499</v>
      </c>
    </row>
    <row r="170" spans="1:10" x14ac:dyDescent="0.25">
      <c r="C170" s="212" t="s">
        <v>1076</v>
      </c>
      <c r="D170" s="61">
        <v>-999</v>
      </c>
      <c r="E170" s="214">
        <v>0.73299999999999998</v>
      </c>
      <c r="F170" s="208">
        <v>1.9150348596070901</v>
      </c>
      <c r="G170" s="208">
        <v>2.5886355631293001</v>
      </c>
      <c r="H170" s="208">
        <v>3.31808108043731</v>
      </c>
      <c r="I170" s="208">
        <v>4.1106164511500101</v>
      </c>
      <c r="J170" s="208">
        <v>4.9747966105752699</v>
      </c>
    </row>
    <row r="171" spans="1:10" x14ac:dyDescent="0.25">
      <c r="C171" s="209" t="s">
        <v>1072</v>
      </c>
      <c r="D171" s="210">
        <v>11</v>
      </c>
      <c r="E171" s="214">
        <v>1</v>
      </c>
      <c r="F171" s="208">
        <v>1.9042669937369301</v>
      </c>
      <c r="G171" s="208">
        <v>2.49795552472336</v>
      </c>
      <c r="H171" s="208">
        <v>3.10249026657586</v>
      </c>
      <c r="I171" s="208">
        <v>3.7181711866689202</v>
      </c>
      <c r="J171" s="208">
        <v>4.3453094166638202</v>
      </c>
    </row>
    <row r="172" spans="1:10" x14ac:dyDescent="0.25">
      <c r="B172" t="s">
        <v>50</v>
      </c>
    </row>
    <row r="173" spans="1:10" x14ac:dyDescent="0.25">
      <c r="A173" t="s">
        <v>0</v>
      </c>
    </row>
    <row r="174" spans="1:10" x14ac:dyDescent="0.25">
      <c r="A174" t="s">
        <v>0</v>
      </c>
    </row>
    <row r="175" spans="1:10" x14ac:dyDescent="0.25">
      <c r="B175" s="145" t="s">
        <v>1090</v>
      </c>
      <c r="C175" s="145"/>
      <c r="D175" s="146"/>
      <c r="E175" s="146"/>
      <c r="F175" s="146"/>
    </row>
    <row r="176" spans="1:10" x14ac:dyDescent="0.25">
      <c r="C176" s="147" t="s">
        <v>1069</v>
      </c>
      <c r="D176" s="147" t="s">
        <v>1088</v>
      </c>
      <c r="E176" s="147" t="s">
        <v>1089</v>
      </c>
      <c r="F176" s="211" t="s">
        <v>1077</v>
      </c>
      <c r="G176" s="211" t="s">
        <v>1074</v>
      </c>
      <c r="H176" s="211" t="s">
        <v>1075</v>
      </c>
      <c r="I176" s="211" t="s">
        <v>1076</v>
      </c>
      <c r="J176" s="211" t="s">
        <v>1087</v>
      </c>
    </row>
    <row r="177" spans="1:10" x14ac:dyDescent="0.25">
      <c r="C177" s="1" t="s">
        <v>1086</v>
      </c>
      <c r="D177" s="61">
        <v>-999</v>
      </c>
      <c r="E177" s="61">
        <v>-999</v>
      </c>
      <c r="F177" s="1">
        <v>5</v>
      </c>
      <c r="G177" s="1">
        <v>6.5</v>
      </c>
      <c r="H177" s="1">
        <v>8</v>
      </c>
      <c r="I177" s="1">
        <v>9.5</v>
      </c>
      <c r="J177" s="1">
        <v>11</v>
      </c>
    </row>
    <row r="178" spans="1:10" x14ac:dyDescent="0.25">
      <c r="C178" s="209" t="s">
        <v>1071</v>
      </c>
      <c r="D178" s="210">
        <v>5</v>
      </c>
      <c r="E178" s="214">
        <v>0.5</v>
      </c>
      <c r="F178" s="208">
        <v>1.7942855944084</v>
      </c>
      <c r="G178" s="208">
        <v>2.5916448771333802</v>
      </c>
      <c r="H178" s="208">
        <v>3.5825249774526</v>
      </c>
      <c r="I178" s="208">
        <v>4.8517308256082803</v>
      </c>
      <c r="J178" s="208">
        <v>6.5356901340632803</v>
      </c>
    </row>
    <row r="179" spans="1:10" x14ac:dyDescent="0.25">
      <c r="C179" s="212" t="s">
        <v>1074</v>
      </c>
      <c r="D179" s="61">
        <v>-999</v>
      </c>
      <c r="E179" s="214">
        <v>0.53300000000000003</v>
      </c>
      <c r="F179" s="208">
        <v>1.77898616093772</v>
      </c>
      <c r="G179" s="208">
        <v>2.5402916834371498</v>
      </c>
      <c r="H179" s="208">
        <v>3.4638458735704498</v>
      </c>
      <c r="I179" s="208">
        <v>4.6107957261729098</v>
      </c>
      <c r="J179" s="208">
        <v>6.0733477408235998</v>
      </c>
    </row>
    <row r="180" spans="1:10" x14ac:dyDescent="0.25">
      <c r="C180" s="212" t="s">
        <v>1075</v>
      </c>
      <c r="D180" s="61">
        <v>-999</v>
      </c>
      <c r="E180" s="214">
        <v>0.6</v>
      </c>
      <c r="F180" s="208">
        <v>1.75659272239308</v>
      </c>
      <c r="G180" s="208">
        <v>2.4563861478715201</v>
      </c>
      <c r="H180" s="208">
        <v>3.2695841015439102</v>
      </c>
      <c r="I180" s="208">
        <v>4.2270598588017201</v>
      </c>
      <c r="J180" s="208">
        <v>5.3709478849509997</v>
      </c>
    </row>
    <row r="181" spans="1:10" x14ac:dyDescent="0.25">
      <c r="C181" s="212" t="s">
        <v>1076</v>
      </c>
      <c r="D181" s="61">
        <v>-999</v>
      </c>
      <c r="E181" s="214">
        <v>0.73299999999999998</v>
      </c>
      <c r="F181" s="208">
        <v>1.72032382138787</v>
      </c>
      <c r="G181" s="208">
        <v>2.32518712743276</v>
      </c>
      <c r="H181" s="208">
        <v>2.9800504544991</v>
      </c>
      <c r="I181" s="208">
        <v>3.6913808495307201</v>
      </c>
      <c r="J181" s="208">
        <v>4.46681088075161</v>
      </c>
    </row>
    <row r="182" spans="1:10" x14ac:dyDescent="0.25">
      <c r="C182" s="209" t="s">
        <v>1072</v>
      </c>
      <c r="D182" s="210">
        <v>11</v>
      </c>
      <c r="E182" s="214">
        <v>1</v>
      </c>
      <c r="F182" s="208">
        <v>1.65911382447797</v>
      </c>
      <c r="G182" s="208">
        <v>2.1761929600139598</v>
      </c>
      <c r="H182" s="208">
        <v>2.7026315115116599</v>
      </c>
      <c r="I182" s="208">
        <v>3.2386859156367702</v>
      </c>
      <c r="J182" s="208">
        <v>3.7846220634737802</v>
      </c>
    </row>
    <row r="183" spans="1:10" x14ac:dyDescent="0.25">
      <c r="B183" t="s">
        <v>50</v>
      </c>
    </row>
    <row r="184" spans="1:10" x14ac:dyDescent="0.25">
      <c r="A184" t="s">
        <v>0</v>
      </c>
    </row>
    <row r="185" spans="1:10" x14ac:dyDescent="0.25">
      <c r="A185" t="s">
        <v>0</v>
      </c>
    </row>
    <row r="186" spans="1:10" x14ac:dyDescent="0.25">
      <c r="B186" s="145" t="s">
        <v>1091</v>
      </c>
      <c r="C186" s="145"/>
      <c r="D186" s="146"/>
      <c r="E186" s="146"/>
      <c r="F186" s="146"/>
    </row>
    <row r="187" spans="1:10" x14ac:dyDescent="0.25">
      <c r="C187" s="147" t="s">
        <v>1069</v>
      </c>
      <c r="D187" s="147" t="s">
        <v>1088</v>
      </c>
      <c r="E187" s="147" t="s">
        <v>1089</v>
      </c>
      <c r="F187" s="211" t="s">
        <v>1077</v>
      </c>
      <c r="G187" s="211" t="s">
        <v>1074</v>
      </c>
      <c r="H187" s="211" t="s">
        <v>1075</v>
      </c>
      <c r="I187" s="211" t="s">
        <v>1076</v>
      </c>
      <c r="J187" s="211" t="s">
        <v>1087</v>
      </c>
    </row>
    <row r="188" spans="1:10" x14ac:dyDescent="0.25">
      <c r="C188" s="1" t="s">
        <v>1086</v>
      </c>
      <c r="D188" s="61">
        <v>-999</v>
      </c>
      <c r="E188" s="61">
        <v>-999</v>
      </c>
      <c r="F188" s="1">
        <v>7</v>
      </c>
      <c r="G188" s="1">
        <v>9.25</v>
      </c>
      <c r="H188" s="1">
        <v>11.5</v>
      </c>
      <c r="I188" s="1">
        <v>13.75</v>
      </c>
      <c r="J188" s="1">
        <v>16</v>
      </c>
    </row>
    <row r="189" spans="1:10" x14ac:dyDescent="0.25">
      <c r="C189" s="209" t="s">
        <v>1071</v>
      </c>
      <c r="D189" s="210">
        <v>7</v>
      </c>
      <c r="E189" s="214">
        <v>0.5</v>
      </c>
      <c r="F189" s="208">
        <v>2.7615174522980399</v>
      </c>
      <c r="G189" s="208">
        <v>4.1485710088989096</v>
      </c>
      <c r="H189" s="208">
        <v>5.9340351273548704</v>
      </c>
      <c r="I189" s="208">
        <v>8.3924622983812895</v>
      </c>
      <c r="J189" s="208">
        <v>11.947880320460801</v>
      </c>
    </row>
    <row r="190" spans="1:10" x14ac:dyDescent="0.25">
      <c r="C190" s="212" t="s">
        <v>1074</v>
      </c>
      <c r="D190" s="61">
        <v>-999</v>
      </c>
      <c r="E190" s="214">
        <v>0.54</v>
      </c>
      <c r="F190" s="208">
        <v>2.6956190656579899</v>
      </c>
      <c r="G190" s="208">
        <v>3.9411009592583599</v>
      </c>
      <c r="H190" s="208">
        <v>5.4901821757658498</v>
      </c>
      <c r="I190" s="208">
        <v>7.4630673018686604</v>
      </c>
      <c r="J190" s="208">
        <v>10.060210076720599</v>
      </c>
    </row>
    <row r="191" spans="1:10" x14ac:dyDescent="0.25">
      <c r="C191" s="212" t="s">
        <v>1075</v>
      </c>
      <c r="D191" s="61">
        <v>-999</v>
      </c>
      <c r="E191" s="214">
        <v>0.62</v>
      </c>
      <c r="F191" s="208">
        <v>2.57861527254442</v>
      </c>
      <c r="G191" s="208">
        <v>3.6273512314369798</v>
      </c>
      <c r="H191" s="208">
        <v>4.8206175932191604</v>
      </c>
      <c r="I191" s="208">
        <v>6.1903363384175796</v>
      </c>
      <c r="J191" s="208">
        <v>7.7785086506320402</v>
      </c>
    </row>
    <row r="192" spans="1:10" x14ac:dyDescent="0.25">
      <c r="C192" s="212" t="s">
        <v>1076</v>
      </c>
      <c r="D192" s="61">
        <v>-999</v>
      </c>
      <c r="E192" s="214">
        <v>0.78</v>
      </c>
      <c r="F192" s="208">
        <v>2.4666459333349202</v>
      </c>
      <c r="G192" s="208">
        <v>3.3051087647532902</v>
      </c>
      <c r="H192" s="208">
        <v>4.1673064794133801</v>
      </c>
      <c r="I192" s="208">
        <v>5.0542179253575998</v>
      </c>
      <c r="J192" s="208">
        <v>5.9668730023326901</v>
      </c>
    </row>
    <row r="193" spans="1:10" x14ac:dyDescent="0.25">
      <c r="C193" s="209" t="s">
        <v>1072</v>
      </c>
      <c r="D193" s="210">
        <v>16</v>
      </c>
      <c r="E193" s="214">
        <v>1.1000000000000001</v>
      </c>
      <c r="F193" s="208">
        <v>2.3452972083399901</v>
      </c>
      <c r="G193" s="208">
        <v>3.0914418940374002</v>
      </c>
      <c r="H193" s="208">
        <v>3.83384931080638</v>
      </c>
      <c r="I193" s="208">
        <v>4.5725249664643197</v>
      </c>
      <c r="J193" s="208">
        <v>5.3074744820016102</v>
      </c>
    </row>
    <row r="194" spans="1:10" x14ac:dyDescent="0.25">
      <c r="B194" t="s">
        <v>50</v>
      </c>
    </row>
    <row r="195" spans="1:10" x14ac:dyDescent="0.25">
      <c r="A195" t="s">
        <v>0</v>
      </c>
    </row>
    <row r="196" spans="1:10" x14ac:dyDescent="0.25">
      <c r="A196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9548D-760A-47E9-814B-0285BAEC3AEB}">
  <dimension ref="C3:N116"/>
  <sheetViews>
    <sheetView workbookViewId="0">
      <selection activeCell="N4" sqref="N4:N28"/>
    </sheetView>
  </sheetViews>
  <sheetFormatPr defaultRowHeight="15" x14ac:dyDescent="0.25"/>
  <cols>
    <col min="3" max="3" width="41.7109375" bestFit="1" customWidth="1"/>
    <col min="4" max="4" width="17.28515625" customWidth="1"/>
    <col min="5" max="6" width="9.140625" style="1"/>
    <col min="8" max="8" width="15" customWidth="1"/>
    <col min="13" max="13" width="38.28515625" bestFit="1" customWidth="1"/>
  </cols>
  <sheetData>
    <row r="3" spans="3:14" x14ac:dyDescent="0.25">
      <c r="D3" s="25" t="s">
        <v>961</v>
      </c>
      <c r="H3" t="s">
        <v>962</v>
      </c>
    </row>
    <row r="4" spans="3:14" x14ac:dyDescent="0.25">
      <c r="C4" t="s">
        <v>848</v>
      </c>
      <c r="D4" t="str">
        <f t="shared" ref="D4:D10" si="0">VLOOKUP(C4, M$4:N$28, 2, FALSE)</f>
        <v>Qr47rated</v>
      </c>
      <c r="M4" t="s">
        <v>848</v>
      </c>
      <c r="N4" t="s">
        <v>822</v>
      </c>
    </row>
    <row r="5" spans="3:14" x14ac:dyDescent="0.25">
      <c r="C5" t="s">
        <v>849</v>
      </c>
      <c r="D5" t="str">
        <f t="shared" si="0"/>
        <v>Qr47min</v>
      </c>
      <c r="M5" t="s">
        <v>849</v>
      </c>
      <c r="N5" t="s">
        <v>823</v>
      </c>
    </row>
    <row r="6" spans="3:14" x14ac:dyDescent="0.25">
      <c r="C6" t="s">
        <v>850</v>
      </c>
      <c r="D6" t="str">
        <f t="shared" si="0"/>
        <v>Qr17rated</v>
      </c>
      <c r="M6" t="s">
        <v>850</v>
      </c>
      <c r="N6" t="s">
        <v>824</v>
      </c>
    </row>
    <row r="7" spans="3:14" x14ac:dyDescent="0.25">
      <c r="C7" t="s">
        <v>851</v>
      </c>
      <c r="D7" t="str">
        <f t="shared" si="0"/>
        <v>Qr17min</v>
      </c>
      <c r="M7" t="s">
        <v>851</v>
      </c>
      <c r="N7" t="s">
        <v>825</v>
      </c>
    </row>
    <row r="8" spans="3:14" x14ac:dyDescent="0.25">
      <c r="C8" t="s">
        <v>852</v>
      </c>
      <c r="D8" t="str">
        <f t="shared" si="0"/>
        <v>Qr5rated</v>
      </c>
      <c r="M8" t="s">
        <v>860</v>
      </c>
      <c r="N8" t="s">
        <v>826</v>
      </c>
    </row>
    <row r="9" spans="3:14" x14ac:dyDescent="0.25">
      <c r="C9" t="s">
        <v>853</v>
      </c>
      <c r="D9" t="str">
        <f t="shared" si="0"/>
        <v>Qr5min</v>
      </c>
      <c r="M9" t="s">
        <v>852</v>
      </c>
      <c r="N9" t="s">
        <v>827</v>
      </c>
    </row>
    <row r="10" spans="3:14" x14ac:dyDescent="0.25">
      <c r="C10" t="s">
        <v>854</v>
      </c>
      <c r="D10" t="str">
        <f t="shared" si="0"/>
        <v>Qr95rated</v>
      </c>
      <c r="M10" t="s">
        <v>853</v>
      </c>
      <c r="N10" t="s">
        <v>828</v>
      </c>
    </row>
    <row r="11" spans="3:14" x14ac:dyDescent="0.25">
      <c r="C11" t="s">
        <v>855</v>
      </c>
      <c r="D11" s="205" t="str">
        <f>H11</f>
        <v>Qr95min</v>
      </c>
      <c r="H11" t="s">
        <v>815</v>
      </c>
      <c r="M11" t="s">
        <v>863</v>
      </c>
      <c r="N11" t="s">
        <v>829</v>
      </c>
    </row>
    <row r="12" spans="3:14" x14ac:dyDescent="0.25">
      <c r="C12" t="s">
        <v>856</v>
      </c>
      <c r="D12" s="205" t="str">
        <f t="shared" ref="D12:D15" si="1">H12</f>
        <v>Qr82min</v>
      </c>
      <c r="H12" t="s">
        <v>963</v>
      </c>
      <c r="M12" t="s">
        <v>864</v>
      </c>
      <c r="N12" t="s">
        <v>830</v>
      </c>
    </row>
    <row r="13" spans="3:14" x14ac:dyDescent="0.25">
      <c r="C13" t="s">
        <v>857</v>
      </c>
      <c r="D13" s="205" t="str">
        <f t="shared" si="1"/>
        <v>Qm17max</v>
      </c>
      <c r="H13" t="s">
        <v>964</v>
      </c>
      <c r="M13" t="s">
        <v>854</v>
      </c>
      <c r="N13" t="s">
        <v>831</v>
      </c>
    </row>
    <row r="14" spans="3:14" x14ac:dyDescent="0.25">
      <c r="C14" t="s">
        <v>858</v>
      </c>
      <c r="D14" s="205" t="str">
        <f t="shared" si="1"/>
        <v>Qm17rated</v>
      </c>
      <c r="H14" t="s">
        <v>965</v>
      </c>
      <c r="M14" t="s">
        <v>865</v>
      </c>
      <c r="N14" t="s">
        <v>832</v>
      </c>
    </row>
    <row r="15" spans="3:14" x14ac:dyDescent="0.25">
      <c r="C15" t="s">
        <v>859</v>
      </c>
      <c r="D15" s="205" t="str">
        <f t="shared" si="1"/>
        <v>Qm17min</v>
      </c>
      <c r="H15" t="s">
        <v>966</v>
      </c>
      <c r="M15" t="s">
        <v>866</v>
      </c>
      <c r="N15" t="s">
        <v>833</v>
      </c>
    </row>
    <row r="16" spans="3:14" x14ac:dyDescent="0.25">
      <c r="C16" t="s">
        <v>860</v>
      </c>
      <c r="D16" t="str">
        <f>VLOOKUP(C16, M$4:N$28, 2, FALSE)</f>
        <v>Qm5max</v>
      </c>
      <c r="M16" t="s">
        <v>942</v>
      </c>
      <c r="N16" t="s">
        <v>834</v>
      </c>
    </row>
    <row r="17" spans="3:14" x14ac:dyDescent="0.25">
      <c r="C17" t="s">
        <v>861</v>
      </c>
      <c r="D17" s="205" t="str">
        <f t="shared" ref="D17:D18" si="2">H17</f>
        <v>Qm5rated</v>
      </c>
      <c r="H17" t="s">
        <v>967</v>
      </c>
      <c r="M17" t="s">
        <v>943</v>
      </c>
      <c r="N17" t="s">
        <v>835</v>
      </c>
    </row>
    <row r="18" spans="3:14" x14ac:dyDescent="0.25">
      <c r="C18" t="s">
        <v>862</v>
      </c>
      <c r="D18" s="205" t="str">
        <f t="shared" si="2"/>
        <v>Qm5min</v>
      </c>
      <c r="H18" t="s">
        <v>968</v>
      </c>
      <c r="M18" t="s">
        <v>952</v>
      </c>
      <c r="N18" t="s">
        <v>836</v>
      </c>
    </row>
    <row r="19" spans="3:14" x14ac:dyDescent="0.25">
      <c r="C19" t="s">
        <v>863</v>
      </c>
      <c r="D19" t="str">
        <f>VLOOKUP(C19, M$4:N$28, 2, FALSE)</f>
        <v>QmslopeLCTmax</v>
      </c>
      <c r="M19" t="s">
        <v>944</v>
      </c>
      <c r="N19" t="s">
        <v>837</v>
      </c>
    </row>
    <row r="20" spans="3:14" x14ac:dyDescent="0.25">
      <c r="C20" t="s">
        <v>864</v>
      </c>
      <c r="D20" t="str">
        <f>VLOOKUP(C20, M$4:N$28, 2, FALSE)</f>
        <v>QmslopeLCTmin</v>
      </c>
      <c r="M20" t="s">
        <v>945</v>
      </c>
      <c r="N20" t="s">
        <v>838</v>
      </c>
    </row>
    <row r="21" spans="3:14" x14ac:dyDescent="0.25">
      <c r="C21" t="s">
        <v>865</v>
      </c>
      <c r="D21" t="str">
        <f>VLOOKUP(C21, M$4:N$28, 2, FALSE)</f>
        <v>Qm95max</v>
      </c>
      <c r="M21" t="s">
        <v>954</v>
      </c>
      <c r="N21" t="s">
        <v>839</v>
      </c>
    </row>
    <row r="22" spans="3:14" x14ac:dyDescent="0.25">
      <c r="C22" t="s">
        <v>866</v>
      </c>
      <c r="D22" t="str">
        <f>VLOOKUP(C22, M$4:N$28, 2, FALSE)</f>
        <v>Qm95min</v>
      </c>
      <c r="M22" t="s">
        <v>946</v>
      </c>
      <c r="N22" t="s">
        <v>840</v>
      </c>
    </row>
    <row r="23" spans="3:14" x14ac:dyDescent="0.25">
      <c r="C23" t="s">
        <v>867</v>
      </c>
      <c r="D23" s="205" t="str">
        <f t="shared" ref="D23:D86" si="3">H23</f>
        <v>Qn47max</v>
      </c>
      <c r="E23" s="1" t="s">
        <v>970</v>
      </c>
      <c r="F23" s="1">
        <v>47</v>
      </c>
      <c r="G23" t="s">
        <v>979</v>
      </c>
      <c r="H23" t="str">
        <f>E23&amp;F23&amp;G23</f>
        <v>Qn47max</v>
      </c>
      <c r="M23" t="s">
        <v>947</v>
      </c>
      <c r="N23" t="s">
        <v>841</v>
      </c>
    </row>
    <row r="24" spans="3:14" x14ac:dyDescent="0.25">
      <c r="C24" t="s">
        <v>868</v>
      </c>
      <c r="D24" s="205" t="str">
        <f t="shared" si="3"/>
        <v>Qn47min</v>
      </c>
      <c r="E24" s="1" t="s">
        <v>970</v>
      </c>
      <c r="F24" s="1">
        <v>47</v>
      </c>
      <c r="G24" t="s">
        <v>980</v>
      </c>
      <c r="H24" t="str">
        <f t="shared" ref="H24:H87" si="4">E24&amp;F24&amp;G24</f>
        <v>Qn47min</v>
      </c>
      <c r="M24" t="s">
        <v>957</v>
      </c>
      <c r="N24" t="s">
        <v>842</v>
      </c>
    </row>
    <row r="25" spans="3:14" x14ac:dyDescent="0.25">
      <c r="C25" t="s">
        <v>869</v>
      </c>
      <c r="D25" s="205" t="str">
        <f t="shared" si="3"/>
        <v>Qn17max</v>
      </c>
      <c r="E25" s="1" t="s">
        <v>970</v>
      </c>
      <c r="F25" s="1">
        <v>17</v>
      </c>
      <c r="G25" t="s">
        <v>979</v>
      </c>
      <c r="H25" t="str">
        <f t="shared" si="4"/>
        <v>Qn17max</v>
      </c>
      <c r="M25" t="s">
        <v>958</v>
      </c>
      <c r="N25" t="s">
        <v>843</v>
      </c>
    </row>
    <row r="26" spans="3:14" x14ac:dyDescent="0.25">
      <c r="C26" t="s">
        <v>870</v>
      </c>
      <c r="D26" s="205" t="str">
        <f t="shared" si="3"/>
        <v>Qn17rated</v>
      </c>
      <c r="E26" s="1" t="s">
        <v>970</v>
      </c>
      <c r="F26" s="1">
        <v>17</v>
      </c>
      <c r="G26" t="s">
        <v>981</v>
      </c>
      <c r="H26" t="str">
        <f t="shared" si="4"/>
        <v>Qn17rated</v>
      </c>
      <c r="M26" t="s">
        <v>948</v>
      </c>
      <c r="N26" t="s">
        <v>844</v>
      </c>
    </row>
    <row r="27" spans="3:14" x14ac:dyDescent="0.25">
      <c r="C27" t="s">
        <v>871</v>
      </c>
      <c r="D27" s="205" t="str">
        <f t="shared" si="3"/>
        <v>Qn17min</v>
      </c>
      <c r="E27" s="1" t="s">
        <v>970</v>
      </c>
      <c r="F27" s="1">
        <v>17</v>
      </c>
      <c r="G27" t="s">
        <v>980</v>
      </c>
      <c r="H27" t="str">
        <f t="shared" si="4"/>
        <v>Qn17min</v>
      </c>
      <c r="M27" t="s">
        <v>959</v>
      </c>
      <c r="N27" t="s">
        <v>845</v>
      </c>
    </row>
    <row r="28" spans="3:14" x14ac:dyDescent="0.25">
      <c r="C28" t="s">
        <v>872</v>
      </c>
      <c r="D28" s="205" t="str">
        <f t="shared" si="3"/>
        <v>Qn5max</v>
      </c>
      <c r="E28" s="1" t="s">
        <v>970</v>
      </c>
      <c r="F28" s="1">
        <v>5</v>
      </c>
      <c r="G28" t="s">
        <v>979</v>
      </c>
      <c r="H28" t="str">
        <f t="shared" si="4"/>
        <v>Qn5max</v>
      </c>
      <c r="M28" t="s">
        <v>960</v>
      </c>
      <c r="N28" t="s">
        <v>846</v>
      </c>
    </row>
    <row r="29" spans="3:14" x14ac:dyDescent="0.25">
      <c r="C29" t="s">
        <v>873</v>
      </c>
      <c r="D29" s="205" t="str">
        <f t="shared" si="3"/>
        <v>Qn5rated</v>
      </c>
      <c r="E29" s="1" t="s">
        <v>970</v>
      </c>
      <c r="F29" s="1">
        <v>5</v>
      </c>
      <c r="G29" t="s">
        <v>981</v>
      </c>
      <c r="H29" t="str">
        <f t="shared" si="4"/>
        <v>Qn5rated</v>
      </c>
    </row>
    <row r="30" spans="3:14" x14ac:dyDescent="0.25">
      <c r="C30" t="s">
        <v>874</v>
      </c>
      <c r="D30" s="205" t="str">
        <f t="shared" si="3"/>
        <v>Qn5min</v>
      </c>
      <c r="E30" s="1" t="s">
        <v>970</v>
      </c>
      <c r="F30" s="1">
        <v>5</v>
      </c>
      <c r="G30" t="s">
        <v>980</v>
      </c>
      <c r="H30" t="str">
        <f t="shared" si="4"/>
        <v>Qn5min</v>
      </c>
    </row>
    <row r="31" spans="3:14" x14ac:dyDescent="0.25">
      <c r="C31" t="s">
        <v>875</v>
      </c>
      <c r="D31" s="205" t="str">
        <f t="shared" si="3"/>
        <v>Qn95max</v>
      </c>
      <c r="E31" s="1" t="s">
        <v>970</v>
      </c>
      <c r="F31" s="1">
        <v>95</v>
      </c>
      <c r="G31" t="s">
        <v>979</v>
      </c>
      <c r="H31" t="str">
        <f t="shared" si="4"/>
        <v>Qn95max</v>
      </c>
    </row>
    <row r="32" spans="3:14" x14ac:dyDescent="0.25">
      <c r="C32" t="s">
        <v>876</v>
      </c>
      <c r="D32" s="205" t="str">
        <f t="shared" si="3"/>
        <v>Qn95min</v>
      </c>
      <c r="E32" s="1" t="s">
        <v>970</v>
      </c>
      <c r="F32" s="1">
        <v>95</v>
      </c>
      <c r="G32" t="s">
        <v>980</v>
      </c>
      <c r="H32" t="str">
        <f t="shared" si="4"/>
        <v>Qn95min</v>
      </c>
    </row>
    <row r="33" spans="3:8" x14ac:dyDescent="0.25">
      <c r="C33" t="s">
        <v>877</v>
      </c>
      <c r="D33" s="205" t="str">
        <f t="shared" si="3"/>
        <v>Qn82max</v>
      </c>
      <c r="E33" s="1" t="s">
        <v>970</v>
      </c>
      <c r="F33" s="1">
        <v>82</v>
      </c>
      <c r="G33" t="s">
        <v>979</v>
      </c>
      <c r="H33" t="str">
        <f t="shared" si="4"/>
        <v>Qn82max</v>
      </c>
    </row>
    <row r="34" spans="3:8" x14ac:dyDescent="0.25">
      <c r="C34" t="s">
        <v>878</v>
      </c>
      <c r="D34" s="205" t="str">
        <f t="shared" si="3"/>
        <v>Qn82min</v>
      </c>
      <c r="E34" s="1" t="s">
        <v>970</v>
      </c>
      <c r="F34" s="1">
        <v>82</v>
      </c>
      <c r="G34" t="s">
        <v>980</v>
      </c>
      <c r="H34" t="str">
        <f t="shared" si="4"/>
        <v>Qn82min</v>
      </c>
    </row>
    <row r="35" spans="3:8" x14ac:dyDescent="0.25">
      <c r="C35" t="s">
        <v>879</v>
      </c>
      <c r="D35" s="205" t="str">
        <f t="shared" si="3"/>
        <v>COPr47rated</v>
      </c>
      <c r="E35" s="1" t="s">
        <v>971</v>
      </c>
      <c r="F35" s="1">
        <v>47</v>
      </c>
      <c r="G35" t="s">
        <v>981</v>
      </c>
      <c r="H35" t="str">
        <f t="shared" si="4"/>
        <v>COPr47rated</v>
      </c>
    </row>
    <row r="36" spans="3:8" x14ac:dyDescent="0.25">
      <c r="C36" t="s">
        <v>880</v>
      </c>
      <c r="D36" s="205" t="str">
        <f t="shared" si="3"/>
        <v>COPr47min</v>
      </c>
      <c r="E36" s="1" t="s">
        <v>971</v>
      </c>
      <c r="F36" s="1">
        <v>47</v>
      </c>
      <c r="G36" t="s">
        <v>980</v>
      </c>
      <c r="H36" t="str">
        <f t="shared" si="4"/>
        <v>COPr47min</v>
      </c>
    </row>
    <row r="37" spans="3:8" x14ac:dyDescent="0.25">
      <c r="C37" t="s">
        <v>881</v>
      </c>
      <c r="D37" s="205" t="str">
        <f t="shared" si="3"/>
        <v>COPr17rated</v>
      </c>
      <c r="E37" s="1" t="s">
        <v>971</v>
      </c>
      <c r="F37" s="1">
        <v>17</v>
      </c>
      <c r="G37" t="s">
        <v>981</v>
      </c>
      <c r="H37" t="str">
        <f t="shared" si="4"/>
        <v>COPr17rated</v>
      </c>
    </row>
    <row r="38" spans="3:8" x14ac:dyDescent="0.25">
      <c r="C38" t="s">
        <v>882</v>
      </c>
      <c r="D38" s="205" t="str">
        <f t="shared" si="3"/>
        <v>COPr17min</v>
      </c>
      <c r="E38" s="1" t="s">
        <v>971</v>
      </c>
      <c r="F38" s="1">
        <v>17</v>
      </c>
      <c r="G38" t="s">
        <v>980</v>
      </c>
      <c r="H38" t="str">
        <f t="shared" si="4"/>
        <v>COPr17min</v>
      </c>
    </row>
    <row r="39" spans="3:8" x14ac:dyDescent="0.25">
      <c r="C39" t="s">
        <v>883</v>
      </c>
      <c r="D39" s="205" t="str">
        <f t="shared" si="3"/>
        <v>COPr5rated</v>
      </c>
      <c r="E39" s="1" t="s">
        <v>971</v>
      </c>
      <c r="F39" s="1">
        <v>5</v>
      </c>
      <c r="G39" t="s">
        <v>981</v>
      </c>
      <c r="H39" t="str">
        <f t="shared" si="4"/>
        <v>COPr5rated</v>
      </c>
    </row>
    <row r="40" spans="3:8" x14ac:dyDescent="0.25">
      <c r="C40" t="s">
        <v>884</v>
      </c>
      <c r="D40" s="205" t="str">
        <f t="shared" si="3"/>
        <v>COPr5min</v>
      </c>
      <c r="E40" s="1" t="s">
        <v>971</v>
      </c>
      <c r="F40" s="1">
        <v>5</v>
      </c>
      <c r="G40" t="s">
        <v>980</v>
      </c>
      <c r="H40" t="str">
        <f t="shared" si="4"/>
        <v>COPr5min</v>
      </c>
    </row>
    <row r="41" spans="3:8" x14ac:dyDescent="0.25">
      <c r="C41" t="s">
        <v>885</v>
      </c>
      <c r="D41" s="205" t="str">
        <f t="shared" si="3"/>
        <v>COPr95rated</v>
      </c>
      <c r="E41" s="1" t="s">
        <v>971</v>
      </c>
      <c r="F41" s="1">
        <v>95</v>
      </c>
      <c r="G41" t="s">
        <v>981</v>
      </c>
      <c r="H41" t="str">
        <f t="shared" si="4"/>
        <v>COPr95rated</v>
      </c>
    </row>
    <row r="42" spans="3:8" x14ac:dyDescent="0.25">
      <c r="C42" t="s">
        <v>886</v>
      </c>
      <c r="D42" s="205" t="str">
        <f t="shared" si="3"/>
        <v>COPr95min</v>
      </c>
      <c r="E42" s="1" t="s">
        <v>971</v>
      </c>
      <c r="F42" s="1">
        <v>95</v>
      </c>
      <c r="G42" t="s">
        <v>980</v>
      </c>
      <c r="H42" t="str">
        <f t="shared" si="4"/>
        <v>COPr95min</v>
      </c>
    </row>
    <row r="43" spans="3:8" x14ac:dyDescent="0.25">
      <c r="C43" t="s">
        <v>887</v>
      </c>
      <c r="D43" s="205" t="str">
        <f t="shared" si="3"/>
        <v>COPr82min</v>
      </c>
      <c r="E43" s="1" t="s">
        <v>971</v>
      </c>
      <c r="F43" s="1">
        <v>82</v>
      </c>
      <c r="G43" t="s">
        <v>980</v>
      </c>
      <c r="H43" t="str">
        <f t="shared" si="4"/>
        <v>COPr82min</v>
      </c>
    </row>
    <row r="44" spans="3:8" x14ac:dyDescent="0.25">
      <c r="C44" t="s">
        <v>888</v>
      </c>
      <c r="D44" s="205" t="str">
        <f t="shared" si="3"/>
        <v>COPm17max</v>
      </c>
      <c r="E44" s="1" t="s">
        <v>972</v>
      </c>
      <c r="F44" s="1">
        <v>17</v>
      </c>
      <c r="G44" t="s">
        <v>979</v>
      </c>
      <c r="H44" t="str">
        <f t="shared" si="4"/>
        <v>COPm17max</v>
      </c>
    </row>
    <row r="45" spans="3:8" x14ac:dyDescent="0.25">
      <c r="C45" t="s">
        <v>889</v>
      </c>
      <c r="D45" s="205" t="str">
        <f t="shared" si="3"/>
        <v>COPm17rated</v>
      </c>
      <c r="E45" s="1" t="s">
        <v>972</v>
      </c>
      <c r="F45" s="1">
        <v>17</v>
      </c>
      <c r="G45" t="s">
        <v>981</v>
      </c>
      <c r="H45" t="str">
        <f t="shared" si="4"/>
        <v>COPm17rated</v>
      </c>
    </row>
    <row r="46" spans="3:8" x14ac:dyDescent="0.25">
      <c r="C46" t="s">
        <v>890</v>
      </c>
      <c r="D46" s="205" t="str">
        <f t="shared" si="3"/>
        <v>COPm17min</v>
      </c>
      <c r="E46" s="1" t="s">
        <v>972</v>
      </c>
      <c r="F46" s="1">
        <v>17</v>
      </c>
      <c r="G46" t="s">
        <v>980</v>
      </c>
      <c r="H46" t="str">
        <f t="shared" si="4"/>
        <v>COPm17min</v>
      </c>
    </row>
    <row r="47" spans="3:8" x14ac:dyDescent="0.25">
      <c r="C47" t="s">
        <v>891</v>
      </c>
      <c r="D47" s="205" t="str">
        <f t="shared" si="3"/>
        <v>COPm5max</v>
      </c>
      <c r="E47" s="1" t="s">
        <v>972</v>
      </c>
      <c r="F47" s="1">
        <v>5</v>
      </c>
      <c r="G47" t="s">
        <v>979</v>
      </c>
      <c r="H47" t="str">
        <f t="shared" si="4"/>
        <v>COPm5max</v>
      </c>
    </row>
    <row r="48" spans="3:8" x14ac:dyDescent="0.25">
      <c r="C48" t="s">
        <v>892</v>
      </c>
      <c r="D48" s="205" t="str">
        <f t="shared" si="3"/>
        <v>COPm5rated</v>
      </c>
      <c r="E48" s="1" t="s">
        <v>972</v>
      </c>
      <c r="F48" s="1">
        <v>5</v>
      </c>
      <c r="G48" t="s">
        <v>981</v>
      </c>
      <c r="H48" t="str">
        <f t="shared" si="4"/>
        <v>COPm5rated</v>
      </c>
    </row>
    <row r="49" spans="3:8" x14ac:dyDescent="0.25">
      <c r="C49" t="s">
        <v>893</v>
      </c>
      <c r="D49" s="205" t="str">
        <f t="shared" si="3"/>
        <v>COPm5min</v>
      </c>
      <c r="E49" s="1" t="s">
        <v>972</v>
      </c>
      <c r="F49" s="1">
        <v>5</v>
      </c>
      <c r="G49" t="s">
        <v>980</v>
      </c>
      <c r="H49" t="str">
        <f t="shared" si="4"/>
        <v>COPm5min</v>
      </c>
    </row>
    <row r="50" spans="3:8" x14ac:dyDescent="0.25">
      <c r="C50" t="s">
        <v>894</v>
      </c>
      <c r="D50" s="205" t="str">
        <f t="shared" si="3"/>
        <v>COPmslopeLCTmax</v>
      </c>
      <c r="E50" s="1" t="s">
        <v>972</v>
      </c>
      <c r="F50" s="1" t="s">
        <v>982</v>
      </c>
      <c r="G50" t="s">
        <v>979</v>
      </c>
      <c r="H50" t="str">
        <f t="shared" si="4"/>
        <v>COPmslopeLCTmax</v>
      </c>
    </row>
    <row r="51" spans="3:8" x14ac:dyDescent="0.25">
      <c r="C51" t="s">
        <v>895</v>
      </c>
      <c r="D51" s="205" t="str">
        <f t="shared" si="3"/>
        <v>COPmslopeLCTmin</v>
      </c>
      <c r="E51" s="1" t="s">
        <v>972</v>
      </c>
      <c r="F51" s="1" t="s">
        <v>982</v>
      </c>
      <c r="G51" t="s">
        <v>980</v>
      </c>
      <c r="H51" t="str">
        <f t="shared" si="4"/>
        <v>COPmslopeLCTmin</v>
      </c>
    </row>
    <row r="52" spans="3:8" x14ac:dyDescent="0.25">
      <c r="C52" t="s">
        <v>896</v>
      </c>
      <c r="D52" s="205" t="str">
        <f t="shared" si="3"/>
        <v>COPm95max</v>
      </c>
      <c r="E52" s="1" t="s">
        <v>972</v>
      </c>
      <c r="F52" s="1">
        <v>95</v>
      </c>
      <c r="G52" t="s">
        <v>979</v>
      </c>
      <c r="H52" t="str">
        <f t="shared" si="4"/>
        <v>COPm95max</v>
      </c>
    </row>
    <row r="53" spans="3:8" x14ac:dyDescent="0.25">
      <c r="C53" t="s">
        <v>897</v>
      </c>
      <c r="D53" s="205" t="str">
        <f t="shared" si="3"/>
        <v>COPm95min</v>
      </c>
      <c r="E53" s="1" t="s">
        <v>972</v>
      </c>
      <c r="F53" s="1">
        <v>95</v>
      </c>
      <c r="G53" t="s">
        <v>980</v>
      </c>
      <c r="H53" t="str">
        <f t="shared" si="4"/>
        <v>COPm95min</v>
      </c>
    </row>
    <row r="54" spans="3:8" x14ac:dyDescent="0.25">
      <c r="C54" t="s">
        <v>898</v>
      </c>
      <c r="D54" s="205" t="str">
        <f t="shared" si="3"/>
        <v>COPn47max</v>
      </c>
      <c r="E54" s="1" t="s">
        <v>973</v>
      </c>
      <c r="F54" s="1">
        <v>47</v>
      </c>
      <c r="G54" t="s">
        <v>979</v>
      </c>
      <c r="H54" t="str">
        <f t="shared" si="4"/>
        <v>COPn47max</v>
      </c>
    </row>
    <row r="55" spans="3:8" x14ac:dyDescent="0.25">
      <c r="C55" t="s">
        <v>899</v>
      </c>
      <c r="D55" s="205" t="str">
        <f t="shared" si="3"/>
        <v>COPn47min</v>
      </c>
      <c r="E55" s="1" t="s">
        <v>973</v>
      </c>
      <c r="F55" s="1">
        <v>47</v>
      </c>
      <c r="G55" t="s">
        <v>980</v>
      </c>
      <c r="H55" t="str">
        <f t="shared" si="4"/>
        <v>COPn47min</v>
      </c>
    </row>
    <row r="56" spans="3:8" x14ac:dyDescent="0.25">
      <c r="C56" t="s">
        <v>900</v>
      </c>
      <c r="D56" s="205" t="str">
        <f t="shared" si="3"/>
        <v>COPn17max</v>
      </c>
      <c r="E56" s="1" t="s">
        <v>973</v>
      </c>
      <c r="F56" s="1">
        <v>17</v>
      </c>
      <c r="G56" t="s">
        <v>979</v>
      </c>
      <c r="H56" t="str">
        <f t="shared" si="4"/>
        <v>COPn17max</v>
      </c>
    </row>
    <row r="57" spans="3:8" x14ac:dyDescent="0.25">
      <c r="C57" t="s">
        <v>901</v>
      </c>
      <c r="D57" s="205" t="str">
        <f t="shared" si="3"/>
        <v>COPn17rated</v>
      </c>
      <c r="E57" s="1" t="s">
        <v>973</v>
      </c>
      <c r="F57" s="1">
        <v>17</v>
      </c>
      <c r="G57" t="s">
        <v>981</v>
      </c>
      <c r="H57" t="str">
        <f t="shared" si="4"/>
        <v>COPn17rated</v>
      </c>
    </row>
    <row r="58" spans="3:8" x14ac:dyDescent="0.25">
      <c r="C58" t="s">
        <v>902</v>
      </c>
      <c r="D58" s="205" t="str">
        <f t="shared" si="3"/>
        <v>COPn17min</v>
      </c>
      <c r="E58" s="1" t="s">
        <v>973</v>
      </c>
      <c r="F58" s="1">
        <v>17</v>
      </c>
      <c r="G58" t="s">
        <v>980</v>
      </c>
      <c r="H58" t="str">
        <f t="shared" si="4"/>
        <v>COPn17min</v>
      </c>
    </row>
    <row r="59" spans="3:8" x14ac:dyDescent="0.25">
      <c r="C59" t="s">
        <v>903</v>
      </c>
      <c r="D59" s="205" t="str">
        <f t="shared" si="3"/>
        <v>COPn5max</v>
      </c>
      <c r="E59" s="1" t="s">
        <v>973</v>
      </c>
      <c r="F59" s="1">
        <v>5</v>
      </c>
      <c r="G59" t="s">
        <v>979</v>
      </c>
      <c r="H59" t="str">
        <f t="shared" si="4"/>
        <v>COPn5max</v>
      </c>
    </row>
    <row r="60" spans="3:8" x14ac:dyDescent="0.25">
      <c r="C60" t="s">
        <v>904</v>
      </c>
      <c r="D60" s="205" t="str">
        <f t="shared" si="3"/>
        <v>COPn5rated</v>
      </c>
      <c r="E60" s="1" t="s">
        <v>973</v>
      </c>
      <c r="F60" s="1">
        <v>5</v>
      </c>
      <c r="G60" t="s">
        <v>981</v>
      </c>
      <c r="H60" t="str">
        <f t="shared" si="4"/>
        <v>COPn5rated</v>
      </c>
    </row>
    <row r="61" spans="3:8" x14ac:dyDescent="0.25">
      <c r="C61" t="s">
        <v>905</v>
      </c>
      <c r="D61" s="205" t="str">
        <f t="shared" si="3"/>
        <v>COPn5min</v>
      </c>
      <c r="E61" s="1" t="s">
        <v>973</v>
      </c>
      <c r="F61" s="1">
        <v>5</v>
      </c>
      <c r="G61" t="s">
        <v>980</v>
      </c>
      <c r="H61" t="str">
        <f t="shared" si="4"/>
        <v>COPn5min</v>
      </c>
    </row>
    <row r="62" spans="3:8" x14ac:dyDescent="0.25">
      <c r="C62" t="s">
        <v>906</v>
      </c>
      <c r="D62" s="205" t="str">
        <f t="shared" si="3"/>
        <v>COPn95max</v>
      </c>
      <c r="E62" s="1" t="s">
        <v>973</v>
      </c>
      <c r="F62" s="1">
        <v>95</v>
      </c>
      <c r="G62" t="s">
        <v>979</v>
      </c>
      <c r="H62" t="str">
        <f t="shared" si="4"/>
        <v>COPn95max</v>
      </c>
    </row>
    <row r="63" spans="3:8" x14ac:dyDescent="0.25">
      <c r="C63" t="s">
        <v>907</v>
      </c>
      <c r="D63" s="205" t="str">
        <f t="shared" si="3"/>
        <v>COPn95min</v>
      </c>
      <c r="E63" s="1" t="s">
        <v>973</v>
      </c>
      <c r="F63" s="1">
        <v>95</v>
      </c>
      <c r="G63" t="s">
        <v>980</v>
      </c>
      <c r="H63" t="str">
        <f t="shared" si="4"/>
        <v>COPn95min</v>
      </c>
    </row>
    <row r="64" spans="3:8" x14ac:dyDescent="0.25">
      <c r="C64" t="s">
        <v>908</v>
      </c>
      <c r="D64" s="205" t="str">
        <f t="shared" si="3"/>
        <v>COPn82max</v>
      </c>
      <c r="E64" s="1" t="s">
        <v>973</v>
      </c>
      <c r="F64" s="1">
        <v>82</v>
      </c>
      <c r="G64" t="s">
        <v>979</v>
      </c>
      <c r="H64" t="str">
        <f t="shared" si="4"/>
        <v>COPn82max</v>
      </c>
    </row>
    <row r="65" spans="3:8" x14ac:dyDescent="0.25">
      <c r="C65" t="s">
        <v>909</v>
      </c>
      <c r="D65" s="205" t="str">
        <f t="shared" si="3"/>
        <v>COPn82min</v>
      </c>
      <c r="E65" s="1" t="s">
        <v>973</v>
      </c>
      <c r="F65" s="1">
        <v>82</v>
      </c>
      <c r="G65" t="s">
        <v>980</v>
      </c>
      <c r="H65" t="str">
        <f t="shared" si="4"/>
        <v>COPn82min</v>
      </c>
    </row>
    <row r="66" spans="3:8" x14ac:dyDescent="0.25">
      <c r="C66" t="s">
        <v>910</v>
      </c>
      <c r="D66" s="205" t="str">
        <f t="shared" si="3"/>
        <v>IPr47rated</v>
      </c>
      <c r="E66" s="1" t="s">
        <v>974</v>
      </c>
      <c r="F66" s="1">
        <v>47</v>
      </c>
      <c r="G66" t="s">
        <v>981</v>
      </c>
      <c r="H66" t="str">
        <f t="shared" si="4"/>
        <v>IPr47rated</v>
      </c>
    </row>
    <row r="67" spans="3:8" x14ac:dyDescent="0.25">
      <c r="C67" t="s">
        <v>911</v>
      </c>
      <c r="D67" s="205" t="str">
        <f t="shared" si="3"/>
        <v>IPr47min</v>
      </c>
      <c r="E67" s="1" t="s">
        <v>974</v>
      </c>
      <c r="F67" s="1">
        <v>47</v>
      </c>
      <c r="G67" t="s">
        <v>980</v>
      </c>
      <c r="H67" t="str">
        <f t="shared" si="4"/>
        <v>IPr47min</v>
      </c>
    </row>
    <row r="68" spans="3:8" x14ac:dyDescent="0.25">
      <c r="C68" t="s">
        <v>912</v>
      </c>
      <c r="D68" s="205" t="str">
        <f t="shared" si="3"/>
        <v>IPr17rated</v>
      </c>
      <c r="E68" s="1" t="s">
        <v>974</v>
      </c>
      <c r="F68" s="1">
        <v>17</v>
      </c>
      <c r="G68" t="s">
        <v>981</v>
      </c>
      <c r="H68" t="str">
        <f t="shared" si="4"/>
        <v>IPr17rated</v>
      </c>
    </row>
    <row r="69" spans="3:8" x14ac:dyDescent="0.25">
      <c r="C69" t="s">
        <v>913</v>
      </c>
      <c r="D69" s="205" t="str">
        <f t="shared" si="3"/>
        <v>IPr17min</v>
      </c>
      <c r="E69" s="1" t="s">
        <v>974</v>
      </c>
      <c r="F69" s="1">
        <v>17</v>
      </c>
      <c r="G69" t="s">
        <v>980</v>
      </c>
      <c r="H69" t="str">
        <f t="shared" si="4"/>
        <v>IPr17min</v>
      </c>
    </row>
    <row r="70" spans="3:8" x14ac:dyDescent="0.25">
      <c r="C70" t="s">
        <v>914</v>
      </c>
      <c r="D70" s="205" t="str">
        <f t="shared" si="3"/>
        <v>IPr5rated</v>
      </c>
      <c r="E70" s="1" t="s">
        <v>974</v>
      </c>
      <c r="F70" s="1">
        <v>5</v>
      </c>
      <c r="G70" t="s">
        <v>981</v>
      </c>
      <c r="H70" t="str">
        <f t="shared" si="4"/>
        <v>IPr5rated</v>
      </c>
    </row>
    <row r="71" spans="3:8" x14ac:dyDescent="0.25">
      <c r="C71" t="s">
        <v>915</v>
      </c>
      <c r="D71" s="205" t="str">
        <f t="shared" si="3"/>
        <v>IPr5min</v>
      </c>
      <c r="E71" s="1" t="s">
        <v>974</v>
      </c>
      <c r="F71" s="1">
        <v>5</v>
      </c>
      <c r="G71" t="s">
        <v>980</v>
      </c>
      <c r="H71" t="str">
        <f t="shared" si="4"/>
        <v>IPr5min</v>
      </c>
    </row>
    <row r="72" spans="3:8" x14ac:dyDescent="0.25">
      <c r="C72" t="s">
        <v>916</v>
      </c>
      <c r="D72" s="205" t="str">
        <f t="shared" si="3"/>
        <v>IPr95rated</v>
      </c>
      <c r="E72" s="1" t="s">
        <v>974</v>
      </c>
      <c r="F72" s="1">
        <v>95</v>
      </c>
      <c r="G72" t="s">
        <v>981</v>
      </c>
      <c r="H72" t="str">
        <f t="shared" si="4"/>
        <v>IPr95rated</v>
      </c>
    </row>
    <row r="73" spans="3:8" x14ac:dyDescent="0.25">
      <c r="C73" t="s">
        <v>917</v>
      </c>
      <c r="D73" s="205" t="str">
        <f t="shared" si="3"/>
        <v>IPr95min</v>
      </c>
      <c r="E73" s="1" t="s">
        <v>974</v>
      </c>
      <c r="F73" s="1">
        <v>95</v>
      </c>
      <c r="G73" t="s">
        <v>980</v>
      </c>
      <c r="H73" t="str">
        <f t="shared" si="4"/>
        <v>IPr95min</v>
      </c>
    </row>
    <row r="74" spans="3:8" x14ac:dyDescent="0.25">
      <c r="C74" t="s">
        <v>918</v>
      </c>
      <c r="D74" s="205" t="str">
        <f t="shared" si="3"/>
        <v>IPr82min</v>
      </c>
      <c r="E74" s="1" t="s">
        <v>974</v>
      </c>
      <c r="F74" s="1">
        <v>82</v>
      </c>
      <c r="G74" t="s">
        <v>980</v>
      </c>
      <c r="H74" t="str">
        <f t="shared" si="4"/>
        <v>IPr82min</v>
      </c>
    </row>
    <row r="75" spans="3:8" x14ac:dyDescent="0.25">
      <c r="C75" t="s">
        <v>919</v>
      </c>
      <c r="D75" s="205" t="str">
        <f t="shared" si="3"/>
        <v>IPm17max</v>
      </c>
      <c r="E75" s="1" t="s">
        <v>975</v>
      </c>
      <c r="F75" s="1">
        <v>17</v>
      </c>
      <c r="G75" t="s">
        <v>979</v>
      </c>
      <c r="H75" t="str">
        <f t="shared" si="4"/>
        <v>IPm17max</v>
      </c>
    </row>
    <row r="76" spans="3:8" x14ac:dyDescent="0.25">
      <c r="C76" t="s">
        <v>920</v>
      </c>
      <c r="D76" s="205" t="str">
        <f t="shared" si="3"/>
        <v>IPm17rated</v>
      </c>
      <c r="E76" s="1" t="s">
        <v>975</v>
      </c>
      <c r="F76" s="1">
        <v>17</v>
      </c>
      <c r="G76" t="s">
        <v>981</v>
      </c>
      <c r="H76" t="str">
        <f t="shared" si="4"/>
        <v>IPm17rated</v>
      </c>
    </row>
    <row r="77" spans="3:8" x14ac:dyDescent="0.25">
      <c r="C77" t="s">
        <v>921</v>
      </c>
      <c r="D77" s="205" t="str">
        <f t="shared" si="3"/>
        <v>IPm17min</v>
      </c>
      <c r="E77" s="1" t="s">
        <v>975</v>
      </c>
      <c r="F77" s="1">
        <v>17</v>
      </c>
      <c r="G77" t="s">
        <v>980</v>
      </c>
      <c r="H77" t="str">
        <f t="shared" si="4"/>
        <v>IPm17min</v>
      </c>
    </row>
    <row r="78" spans="3:8" x14ac:dyDescent="0.25">
      <c r="C78" t="s">
        <v>922</v>
      </c>
      <c r="D78" s="205" t="str">
        <f t="shared" si="3"/>
        <v>IPm5max</v>
      </c>
      <c r="E78" s="1" t="s">
        <v>975</v>
      </c>
      <c r="F78" s="1">
        <v>5</v>
      </c>
      <c r="G78" t="s">
        <v>979</v>
      </c>
      <c r="H78" t="str">
        <f t="shared" si="4"/>
        <v>IPm5max</v>
      </c>
    </row>
    <row r="79" spans="3:8" x14ac:dyDescent="0.25">
      <c r="C79" t="s">
        <v>923</v>
      </c>
      <c r="D79" s="205" t="str">
        <f t="shared" si="3"/>
        <v>IPm5rated</v>
      </c>
      <c r="E79" s="1" t="s">
        <v>975</v>
      </c>
      <c r="F79" s="1">
        <v>5</v>
      </c>
      <c r="G79" t="s">
        <v>981</v>
      </c>
      <c r="H79" t="str">
        <f t="shared" si="4"/>
        <v>IPm5rated</v>
      </c>
    </row>
    <row r="80" spans="3:8" x14ac:dyDescent="0.25">
      <c r="C80" t="s">
        <v>924</v>
      </c>
      <c r="D80" s="205" t="str">
        <f t="shared" si="3"/>
        <v>IPm5min</v>
      </c>
      <c r="E80" s="1" t="s">
        <v>975</v>
      </c>
      <c r="F80" s="1">
        <v>5</v>
      </c>
      <c r="G80" t="s">
        <v>980</v>
      </c>
      <c r="H80" t="str">
        <f t="shared" si="4"/>
        <v>IPm5min</v>
      </c>
    </row>
    <row r="81" spans="3:8" x14ac:dyDescent="0.25">
      <c r="C81" t="s">
        <v>925</v>
      </c>
      <c r="D81" s="205" t="str">
        <f t="shared" si="3"/>
        <v>IPmslopeLCTmax</v>
      </c>
      <c r="E81" s="1" t="s">
        <v>975</v>
      </c>
      <c r="F81" s="1" t="s">
        <v>982</v>
      </c>
      <c r="G81" t="s">
        <v>979</v>
      </c>
      <c r="H81" t="str">
        <f t="shared" si="4"/>
        <v>IPmslopeLCTmax</v>
      </c>
    </row>
    <row r="82" spans="3:8" x14ac:dyDescent="0.25">
      <c r="C82" t="s">
        <v>926</v>
      </c>
      <c r="D82" s="205" t="str">
        <f t="shared" si="3"/>
        <v>IPmslopeLCTmin</v>
      </c>
      <c r="E82" s="1" t="s">
        <v>975</v>
      </c>
      <c r="F82" s="1" t="s">
        <v>982</v>
      </c>
      <c r="G82" t="s">
        <v>980</v>
      </c>
      <c r="H82" t="str">
        <f t="shared" si="4"/>
        <v>IPmslopeLCTmin</v>
      </c>
    </row>
    <row r="83" spans="3:8" x14ac:dyDescent="0.25">
      <c r="C83" t="s">
        <v>927</v>
      </c>
      <c r="D83" s="205" t="str">
        <f t="shared" si="3"/>
        <v>IPm95max</v>
      </c>
      <c r="E83" s="1" t="s">
        <v>975</v>
      </c>
      <c r="F83" s="1">
        <v>95</v>
      </c>
      <c r="G83" t="s">
        <v>979</v>
      </c>
      <c r="H83" t="str">
        <f t="shared" si="4"/>
        <v>IPm95max</v>
      </c>
    </row>
    <row r="84" spans="3:8" x14ac:dyDescent="0.25">
      <c r="C84" t="s">
        <v>928</v>
      </c>
      <c r="D84" s="205" t="str">
        <f t="shared" si="3"/>
        <v>IPm95min</v>
      </c>
      <c r="E84" s="1" t="s">
        <v>975</v>
      </c>
      <c r="F84" s="1">
        <v>95</v>
      </c>
      <c r="G84" t="s">
        <v>980</v>
      </c>
      <c r="H84" t="str">
        <f t="shared" si="4"/>
        <v>IPm95min</v>
      </c>
    </row>
    <row r="85" spans="3:8" x14ac:dyDescent="0.25">
      <c r="C85" t="s">
        <v>929</v>
      </c>
      <c r="D85" s="205" t="str">
        <f t="shared" si="3"/>
        <v>IPn47max</v>
      </c>
      <c r="E85" s="1" t="s">
        <v>976</v>
      </c>
      <c r="F85" s="1">
        <v>47</v>
      </c>
      <c r="G85" t="s">
        <v>979</v>
      </c>
      <c r="H85" t="str">
        <f t="shared" si="4"/>
        <v>IPn47max</v>
      </c>
    </row>
    <row r="86" spans="3:8" x14ac:dyDescent="0.25">
      <c r="C86" t="s">
        <v>930</v>
      </c>
      <c r="D86" s="205" t="str">
        <f t="shared" si="3"/>
        <v>IPn47min</v>
      </c>
      <c r="E86" s="1" t="s">
        <v>976</v>
      </c>
      <c r="F86" s="1">
        <v>47</v>
      </c>
      <c r="G86" t="s">
        <v>980</v>
      </c>
      <c r="H86" t="str">
        <f t="shared" si="4"/>
        <v>IPn47min</v>
      </c>
    </row>
    <row r="87" spans="3:8" x14ac:dyDescent="0.25">
      <c r="C87" t="s">
        <v>931</v>
      </c>
      <c r="D87" s="205" t="str">
        <f t="shared" ref="D87:D97" si="5">H87</f>
        <v>IPn17max</v>
      </c>
      <c r="E87" s="1" t="s">
        <v>976</v>
      </c>
      <c r="F87" s="1">
        <v>17</v>
      </c>
      <c r="G87" t="s">
        <v>979</v>
      </c>
      <c r="H87" t="str">
        <f t="shared" si="4"/>
        <v>IPn17max</v>
      </c>
    </row>
    <row r="88" spans="3:8" x14ac:dyDescent="0.25">
      <c r="C88" t="s">
        <v>932</v>
      </c>
      <c r="D88" s="205" t="str">
        <f t="shared" si="5"/>
        <v>IPn17rated</v>
      </c>
      <c r="E88" s="1" t="s">
        <v>976</v>
      </c>
      <c r="F88" s="1">
        <v>17</v>
      </c>
      <c r="G88" t="s">
        <v>981</v>
      </c>
      <c r="H88" t="str">
        <f t="shared" ref="H88:H97" si="6">E88&amp;F88&amp;G88</f>
        <v>IPn17rated</v>
      </c>
    </row>
    <row r="89" spans="3:8" x14ac:dyDescent="0.25">
      <c r="C89" t="s">
        <v>933</v>
      </c>
      <c r="D89" s="205" t="str">
        <f t="shared" si="5"/>
        <v>IPn17min</v>
      </c>
      <c r="E89" s="1" t="s">
        <v>976</v>
      </c>
      <c r="F89" s="1">
        <v>17</v>
      </c>
      <c r="G89" t="s">
        <v>980</v>
      </c>
      <c r="H89" t="str">
        <f t="shared" si="6"/>
        <v>IPn17min</v>
      </c>
    </row>
    <row r="90" spans="3:8" x14ac:dyDescent="0.25">
      <c r="C90" t="s">
        <v>934</v>
      </c>
      <c r="D90" s="205" t="str">
        <f t="shared" si="5"/>
        <v>IPn5max</v>
      </c>
      <c r="E90" s="1" t="s">
        <v>976</v>
      </c>
      <c r="F90" s="1">
        <v>5</v>
      </c>
      <c r="G90" t="s">
        <v>979</v>
      </c>
      <c r="H90" t="str">
        <f t="shared" si="6"/>
        <v>IPn5max</v>
      </c>
    </row>
    <row r="91" spans="3:8" x14ac:dyDescent="0.25">
      <c r="C91" t="s">
        <v>935</v>
      </c>
      <c r="D91" s="205" t="str">
        <f t="shared" si="5"/>
        <v>IPn5rated</v>
      </c>
      <c r="E91" s="1" t="s">
        <v>976</v>
      </c>
      <c r="F91" s="1">
        <v>5</v>
      </c>
      <c r="G91" t="s">
        <v>981</v>
      </c>
      <c r="H91" t="str">
        <f t="shared" si="6"/>
        <v>IPn5rated</v>
      </c>
    </row>
    <row r="92" spans="3:8" x14ac:dyDescent="0.25">
      <c r="C92" t="s">
        <v>936</v>
      </c>
      <c r="D92" s="205" t="str">
        <f t="shared" si="5"/>
        <v>IPn5min</v>
      </c>
      <c r="E92" s="1" t="s">
        <v>976</v>
      </c>
      <c r="F92" s="1">
        <v>5</v>
      </c>
      <c r="G92" t="s">
        <v>980</v>
      </c>
      <c r="H92" t="str">
        <f t="shared" si="6"/>
        <v>IPn5min</v>
      </c>
    </row>
    <row r="93" spans="3:8" x14ac:dyDescent="0.25">
      <c r="C93" t="s">
        <v>937</v>
      </c>
      <c r="D93" s="205" t="str">
        <f t="shared" si="5"/>
        <v>IPn95max</v>
      </c>
      <c r="E93" s="1" t="s">
        <v>976</v>
      </c>
      <c r="F93" s="1">
        <v>95</v>
      </c>
      <c r="G93" t="s">
        <v>979</v>
      </c>
      <c r="H93" t="str">
        <f t="shared" si="6"/>
        <v>IPn95max</v>
      </c>
    </row>
    <row r="94" spans="3:8" x14ac:dyDescent="0.25">
      <c r="C94" t="s">
        <v>938</v>
      </c>
      <c r="D94" s="205" t="str">
        <f t="shared" si="5"/>
        <v>IPn95min</v>
      </c>
      <c r="E94" s="1" t="s">
        <v>976</v>
      </c>
      <c r="F94" s="1">
        <v>95</v>
      </c>
      <c r="G94" t="s">
        <v>980</v>
      </c>
      <c r="H94" t="str">
        <f t="shared" si="6"/>
        <v>IPn95min</v>
      </c>
    </row>
    <row r="95" spans="3:8" x14ac:dyDescent="0.25">
      <c r="C95" t="s">
        <v>939</v>
      </c>
      <c r="D95" s="205" t="str">
        <f t="shared" si="5"/>
        <v>IPn82max</v>
      </c>
      <c r="E95" s="1" t="s">
        <v>976</v>
      </c>
      <c r="F95" s="1">
        <v>82</v>
      </c>
      <c r="G95" t="s">
        <v>979</v>
      </c>
      <c r="H95" t="str">
        <f t="shared" si="6"/>
        <v>IPn82max</v>
      </c>
    </row>
    <row r="96" spans="3:8" x14ac:dyDescent="0.25">
      <c r="C96" t="s">
        <v>940</v>
      </c>
      <c r="D96" s="205" t="str">
        <f t="shared" si="5"/>
        <v>IPn82min</v>
      </c>
      <c r="E96" s="1" t="s">
        <v>976</v>
      </c>
      <c r="F96" s="1">
        <v>82</v>
      </c>
      <c r="G96" t="s">
        <v>980</v>
      </c>
      <c r="H96" t="str">
        <f t="shared" si="6"/>
        <v>IPn82min</v>
      </c>
    </row>
    <row r="97" spans="3:8" x14ac:dyDescent="0.25">
      <c r="C97" t="s">
        <v>941</v>
      </c>
      <c r="D97" s="205" t="str">
        <f t="shared" si="5"/>
        <v>LCT</v>
      </c>
      <c r="E97" s="1" t="s">
        <v>941</v>
      </c>
      <c r="H97" t="str">
        <f t="shared" si="6"/>
        <v>LCT</v>
      </c>
    </row>
    <row r="98" spans="3:8" x14ac:dyDescent="0.25">
      <c r="C98" t="s">
        <v>942</v>
      </c>
      <c r="D98" t="str">
        <f t="shared" ref="D98:D104" si="7">VLOOKUP(C98, M$4:N$28, 2, FALSE)</f>
        <v>EIRr47rated</v>
      </c>
    </row>
    <row r="99" spans="3:8" x14ac:dyDescent="0.25">
      <c r="C99" t="s">
        <v>943</v>
      </c>
      <c r="D99" t="str">
        <f t="shared" si="7"/>
        <v>EIRr47min</v>
      </c>
    </row>
    <row r="100" spans="3:8" x14ac:dyDescent="0.25">
      <c r="C100" t="s">
        <v>944</v>
      </c>
      <c r="D100" t="str">
        <f t="shared" si="7"/>
        <v>EIRr17rated</v>
      </c>
    </row>
    <row r="101" spans="3:8" x14ac:dyDescent="0.25">
      <c r="C101" t="s">
        <v>945</v>
      </c>
      <c r="D101" t="str">
        <f t="shared" si="7"/>
        <v>EIRr17min</v>
      </c>
    </row>
    <row r="102" spans="3:8" x14ac:dyDescent="0.25">
      <c r="C102" t="s">
        <v>946</v>
      </c>
      <c r="D102" t="str">
        <f t="shared" si="7"/>
        <v>EIRr5rated</v>
      </c>
    </row>
    <row r="103" spans="3:8" x14ac:dyDescent="0.25">
      <c r="C103" t="s">
        <v>947</v>
      </c>
      <c r="D103" t="str">
        <f t="shared" si="7"/>
        <v>EIRr5min</v>
      </c>
    </row>
    <row r="104" spans="3:8" x14ac:dyDescent="0.25">
      <c r="C104" t="s">
        <v>948</v>
      </c>
      <c r="D104" t="str">
        <f t="shared" si="7"/>
        <v>EIRr95rated</v>
      </c>
    </row>
    <row r="105" spans="3:8" x14ac:dyDescent="0.25">
      <c r="C105" t="s">
        <v>949</v>
      </c>
      <c r="D105" s="205" t="str">
        <f t="shared" ref="D105:D107" si="8">H105</f>
        <v>EIRr95min</v>
      </c>
      <c r="E105" s="1" t="s">
        <v>977</v>
      </c>
      <c r="F105" s="1">
        <v>95</v>
      </c>
      <c r="G105" t="s">
        <v>980</v>
      </c>
      <c r="H105" t="str">
        <f t="shared" ref="H105:H107" si="9">E105&amp;F105&amp;G105</f>
        <v>EIRr95min</v>
      </c>
    </row>
    <row r="106" spans="3:8" x14ac:dyDescent="0.25">
      <c r="C106" t="s">
        <v>950</v>
      </c>
      <c r="D106" s="205" t="str">
        <f t="shared" si="8"/>
        <v>EIRr82min</v>
      </c>
      <c r="E106" s="1" t="s">
        <v>977</v>
      </c>
      <c r="F106" s="1">
        <v>82</v>
      </c>
      <c r="G106" t="s">
        <v>980</v>
      </c>
      <c r="H106" t="str">
        <f t="shared" si="9"/>
        <v>EIRr82min</v>
      </c>
    </row>
    <row r="107" spans="3:8" x14ac:dyDescent="0.25">
      <c r="C107" t="s">
        <v>951</v>
      </c>
      <c r="D107" s="205" t="str">
        <f t="shared" si="8"/>
        <v>EIRm17max</v>
      </c>
      <c r="E107" s="1" t="s">
        <v>978</v>
      </c>
      <c r="F107" s="1">
        <v>17</v>
      </c>
      <c r="G107" t="s">
        <v>979</v>
      </c>
      <c r="H107" t="str">
        <f t="shared" si="9"/>
        <v>EIRm17max</v>
      </c>
    </row>
    <row r="108" spans="3:8" x14ac:dyDescent="0.25">
      <c r="C108" t="s">
        <v>952</v>
      </c>
      <c r="D108" t="str">
        <f>VLOOKUP(C108, M$4:N$28, 2, FALSE)</f>
        <v>EIRm17rated</v>
      </c>
      <c r="G108" t="s">
        <v>981</v>
      </c>
    </row>
    <row r="109" spans="3:8" x14ac:dyDescent="0.25">
      <c r="C109" t="s">
        <v>953</v>
      </c>
      <c r="D109" s="205" t="str">
        <f>H109</f>
        <v>EIRm17min</v>
      </c>
      <c r="E109" s="1" t="s">
        <v>978</v>
      </c>
      <c r="F109" s="1">
        <v>17</v>
      </c>
      <c r="G109" t="s">
        <v>980</v>
      </c>
      <c r="H109" t="str">
        <f>E109&amp;F109&amp;G109</f>
        <v>EIRm17min</v>
      </c>
    </row>
    <row r="110" spans="3:8" x14ac:dyDescent="0.25">
      <c r="C110" t="s">
        <v>954</v>
      </c>
      <c r="D110" t="str">
        <f>VLOOKUP(C110, M$4:N$28, 2, FALSE)</f>
        <v>EIRm5max</v>
      </c>
      <c r="G110" t="s">
        <v>979</v>
      </c>
    </row>
    <row r="111" spans="3:8" x14ac:dyDescent="0.25">
      <c r="C111" t="s">
        <v>955</v>
      </c>
      <c r="D111" s="205" t="str">
        <f t="shared" ref="D111:D112" si="10">H111</f>
        <v>EIRm5rated</v>
      </c>
      <c r="E111" s="1" t="s">
        <v>978</v>
      </c>
      <c r="F111" s="1">
        <v>5</v>
      </c>
      <c r="G111" t="s">
        <v>981</v>
      </c>
      <c r="H111" t="str">
        <f t="shared" ref="H111:H112" si="11">E111&amp;F111&amp;G111</f>
        <v>EIRm5rated</v>
      </c>
    </row>
    <row r="112" spans="3:8" x14ac:dyDescent="0.25">
      <c r="C112" t="s">
        <v>956</v>
      </c>
      <c r="D112" s="205" t="str">
        <f t="shared" si="10"/>
        <v>EIRm5min</v>
      </c>
      <c r="E112" s="1" t="s">
        <v>978</v>
      </c>
      <c r="F112" s="1">
        <v>5</v>
      </c>
      <c r="G112" t="s">
        <v>980</v>
      </c>
      <c r="H112" t="str">
        <f t="shared" si="11"/>
        <v>EIRm5min</v>
      </c>
    </row>
    <row r="113" spans="3:4" x14ac:dyDescent="0.25">
      <c r="C113" t="s">
        <v>957</v>
      </c>
      <c r="D113" t="str">
        <f>VLOOKUP(C113, M$4:N$28, 2, FALSE)</f>
        <v>EIRmslopeLCTmax</v>
      </c>
    </row>
    <row r="114" spans="3:4" x14ac:dyDescent="0.25">
      <c r="C114" t="s">
        <v>958</v>
      </c>
      <c r="D114" t="str">
        <f>VLOOKUP(C114, M$4:N$28, 2, FALSE)</f>
        <v>EIRmslopeLCTmin</v>
      </c>
    </row>
    <row r="115" spans="3:4" x14ac:dyDescent="0.25">
      <c r="C115" t="s">
        <v>959</v>
      </c>
      <c r="D115" t="str">
        <f>VLOOKUP(C115, M$4:N$28, 2, FALSE)</f>
        <v>EIRm95max</v>
      </c>
    </row>
    <row r="116" spans="3:4" x14ac:dyDescent="0.25">
      <c r="C116" t="s">
        <v>960</v>
      </c>
      <c r="D116" t="str">
        <f>VLOOKUP(C116, M$4:N$28, 2, FALSE)</f>
        <v>EIRm95min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40"/>
  <sheetViews>
    <sheetView topLeftCell="A16" workbookViewId="0">
      <selection sqref="A1:XFD10"/>
    </sheetView>
  </sheetViews>
  <sheetFormatPr defaultRowHeight="15" x14ac:dyDescent="0.25"/>
  <cols>
    <col min="1" max="1" width="10.42578125" customWidth="1"/>
    <col min="4" max="4" width="6.28515625" customWidth="1"/>
  </cols>
  <sheetData>
    <row r="1" spans="1:13" x14ac:dyDescent="0.25">
      <c r="A1" t="s">
        <v>0</v>
      </c>
      <c r="B1" t="s">
        <v>1</v>
      </c>
    </row>
    <row r="2" spans="1:13" x14ac:dyDescent="0.25">
      <c r="A2" t="s">
        <v>0</v>
      </c>
      <c r="B2" t="s">
        <v>96</v>
      </c>
    </row>
    <row r="3" spans="1:13" x14ac:dyDescent="0.25">
      <c r="A3" t="s">
        <v>0</v>
      </c>
      <c r="B3" t="s">
        <v>3</v>
      </c>
      <c r="D3" t="s">
        <v>93</v>
      </c>
    </row>
    <row r="4" spans="1:13" x14ac:dyDescent="0.25">
      <c r="A4" t="s">
        <v>0</v>
      </c>
      <c r="D4" t="s">
        <v>239</v>
      </c>
    </row>
    <row r="5" spans="1:13" x14ac:dyDescent="0.25">
      <c r="A5" t="s">
        <v>0</v>
      </c>
    </row>
    <row r="6" spans="1:13" x14ac:dyDescent="0.25">
      <c r="A6" t="s">
        <v>0</v>
      </c>
      <c r="B6" t="s">
        <v>24</v>
      </c>
    </row>
    <row r="7" spans="1:13" x14ac:dyDescent="0.25">
      <c r="A7" t="s">
        <v>0</v>
      </c>
    </row>
    <row r="8" spans="1:13" x14ac:dyDescent="0.25">
      <c r="A8" t="s">
        <v>0</v>
      </c>
    </row>
    <row r="9" spans="1:13" x14ac:dyDescent="0.25">
      <c r="A9" t="s">
        <v>0</v>
      </c>
      <c r="B9" t="s">
        <v>4</v>
      </c>
      <c r="D9" t="s">
        <v>97</v>
      </c>
    </row>
    <row r="10" spans="1:13" x14ac:dyDescent="0.25">
      <c r="A10" t="s">
        <v>0</v>
      </c>
    </row>
    <row r="11" spans="1:13" x14ac:dyDescent="0.25">
      <c r="A11" t="s">
        <v>0</v>
      </c>
    </row>
    <row r="12" spans="1:13" x14ac:dyDescent="0.25">
      <c r="A12" t="s">
        <v>0</v>
      </c>
      <c r="B12" t="s">
        <v>6</v>
      </c>
    </row>
    <row r="13" spans="1:13" x14ac:dyDescent="0.25">
      <c r="A13" t="s">
        <v>0</v>
      </c>
      <c r="C13" s="1">
        <v>1</v>
      </c>
      <c r="D13" t="s">
        <v>98</v>
      </c>
    </row>
    <row r="14" spans="1:13" x14ac:dyDescent="0.25">
      <c r="A14" t="s">
        <v>0</v>
      </c>
      <c r="C14" s="1"/>
    </row>
    <row r="15" spans="1:13" x14ac:dyDescent="0.25">
      <c r="A15" t="s">
        <v>0</v>
      </c>
      <c r="B15" t="s">
        <v>7</v>
      </c>
      <c r="C15" s="1"/>
      <c r="M15" t="s">
        <v>137</v>
      </c>
    </row>
    <row r="16" spans="1:13" x14ac:dyDescent="0.25">
      <c r="A16" t="s">
        <v>0</v>
      </c>
      <c r="C16" s="1">
        <v>1</v>
      </c>
      <c r="D16" t="s">
        <v>99</v>
      </c>
    </row>
    <row r="17" spans="1:5" x14ac:dyDescent="0.25">
      <c r="A17" t="s">
        <v>0</v>
      </c>
      <c r="C17" s="1">
        <v>2</v>
      </c>
      <c r="D17" t="s">
        <v>240</v>
      </c>
    </row>
    <row r="18" spans="1:5" x14ac:dyDescent="0.25">
      <c r="A18" t="s">
        <v>0</v>
      </c>
      <c r="C18" s="1">
        <v>3</v>
      </c>
    </row>
    <row r="19" spans="1:5" x14ac:dyDescent="0.25">
      <c r="A19" t="s">
        <v>0</v>
      </c>
      <c r="C19" s="1">
        <v>4</v>
      </c>
    </row>
    <row r="20" spans="1:5" x14ac:dyDescent="0.25">
      <c r="A20" t="s">
        <v>0</v>
      </c>
      <c r="C20" s="1">
        <v>5</v>
      </c>
    </row>
    <row r="21" spans="1:5" x14ac:dyDescent="0.25">
      <c r="A21" t="s">
        <v>0</v>
      </c>
      <c r="D21" s="1"/>
    </row>
    <row r="22" spans="1:5" x14ac:dyDescent="0.25">
      <c r="A22" t="s">
        <v>0</v>
      </c>
      <c r="D22" s="1"/>
    </row>
    <row r="23" spans="1:5" x14ac:dyDescent="0.25">
      <c r="A23" t="s">
        <v>0</v>
      </c>
      <c r="B23" s="6">
        <v>1</v>
      </c>
      <c r="C23" s="6">
        <f>B23+1</f>
        <v>2</v>
      </c>
    </row>
    <row r="24" spans="1:5" x14ac:dyDescent="0.25">
      <c r="A24" t="s">
        <v>8</v>
      </c>
      <c r="B24" s="2" t="s">
        <v>94</v>
      </c>
      <c r="C24" s="1" t="s">
        <v>237</v>
      </c>
    </row>
    <row r="25" spans="1:5" x14ac:dyDescent="0.25">
      <c r="A25" s="5" t="s">
        <v>9</v>
      </c>
      <c r="B25" s="3" t="s">
        <v>95</v>
      </c>
      <c r="C25" s="4" t="s">
        <v>238</v>
      </c>
    </row>
    <row r="26" spans="1:5" x14ac:dyDescent="0.25">
      <c r="A26" s="1">
        <v>1</v>
      </c>
      <c r="B26" s="8">
        <v>1</v>
      </c>
      <c r="C26" s="1">
        <v>1</v>
      </c>
      <c r="D26" s="6" t="s">
        <v>0</v>
      </c>
      <c r="E26" t="s">
        <v>100</v>
      </c>
    </row>
    <row r="27" spans="1:5" x14ac:dyDescent="0.25">
      <c r="A27" s="1">
        <v>2</v>
      </c>
      <c r="B27" s="2">
        <v>1</v>
      </c>
      <c r="C27" s="1">
        <v>1</v>
      </c>
      <c r="D27" s="6" t="s">
        <v>0</v>
      </c>
      <c r="E27" t="s">
        <v>101</v>
      </c>
    </row>
    <row r="28" spans="1:5" x14ac:dyDescent="0.25">
      <c r="A28" s="1">
        <v>3</v>
      </c>
      <c r="B28" s="2">
        <v>1</v>
      </c>
      <c r="C28" s="1">
        <v>1</v>
      </c>
      <c r="D28" s="6" t="s">
        <v>0</v>
      </c>
      <c r="E28" t="s">
        <v>102</v>
      </c>
    </row>
    <row r="29" spans="1:5" x14ac:dyDescent="0.25">
      <c r="A29" s="1">
        <v>4</v>
      </c>
      <c r="B29" s="2">
        <v>1</v>
      </c>
      <c r="C29" s="1">
        <v>1</v>
      </c>
      <c r="D29" s="6" t="s">
        <v>0</v>
      </c>
      <c r="E29" t="s">
        <v>103</v>
      </c>
    </row>
    <row r="30" spans="1:5" x14ac:dyDescent="0.25">
      <c r="A30" s="1">
        <v>5</v>
      </c>
      <c r="B30" s="2">
        <v>1</v>
      </c>
      <c r="C30" s="1">
        <v>1</v>
      </c>
      <c r="D30" s="6" t="s">
        <v>0</v>
      </c>
      <c r="E30" t="s">
        <v>104</v>
      </c>
    </row>
    <row r="31" spans="1:5" x14ac:dyDescent="0.25">
      <c r="A31" s="1">
        <v>6</v>
      </c>
      <c r="B31" s="2">
        <v>1</v>
      </c>
      <c r="C31" s="1">
        <v>1</v>
      </c>
      <c r="D31" s="6" t="s">
        <v>0</v>
      </c>
      <c r="E31" t="s">
        <v>105</v>
      </c>
    </row>
    <row r="32" spans="1:5" x14ac:dyDescent="0.25">
      <c r="A32" s="1">
        <v>7</v>
      </c>
      <c r="B32" s="2">
        <v>1</v>
      </c>
      <c r="C32" s="1">
        <v>1</v>
      </c>
      <c r="D32" s="6" t="s">
        <v>0</v>
      </c>
      <c r="E32" t="s">
        <v>106</v>
      </c>
    </row>
    <row r="33" spans="1:7" x14ac:dyDescent="0.25">
      <c r="A33" s="1">
        <v>8</v>
      </c>
      <c r="B33" s="2">
        <v>0</v>
      </c>
      <c r="C33" s="1">
        <v>0</v>
      </c>
      <c r="D33" s="6" t="s">
        <v>0</v>
      </c>
      <c r="E33" t="s">
        <v>107</v>
      </c>
    </row>
    <row r="34" spans="1:7" x14ac:dyDescent="0.25">
      <c r="A34" s="1">
        <v>9</v>
      </c>
      <c r="B34" s="2">
        <v>1</v>
      </c>
      <c r="C34" s="1">
        <v>1</v>
      </c>
      <c r="D34" s="6" t="s">
        <v>0</v>
      </c>
      <c r="E34" t="s">
        <v>108</v>
      </c>
    </row>
    <row r="35" spans="1:7" x14ac:dyDescent="0.25">
      <c r="A35" s="1">
        <v>10</v>
      </c>
      <c r="B35" s="2">
        <v>0</v>
      </c>
      <c r="C35" s="1">
        <v>0</v>
      </c>
      <c r="D35" s="6" t="s">
        <v>0</v>
      </c>
      <c r="E35" t="s">
        <v>109</v>
      </c>
    </row>
    <row r="36" spans="1:7" x14ac:dyDescent="0.25">
      <c r="A36" s="1">
        <v>11</v>
      </c>
      <c r="B36" s="2">
        <v>0</v>
      </c>
      <c r="C36" s="1">
        <v>0</v>
      </c>
      <c r="D36" s="6" t="s">
        <v>0</v>
      </c>
      <c r="E36" t="s">
        <v>110</v>
      </c>
    </row>
    <row r="37" spans="1:7" x14ac:dyDescent="0.25">
      <c r="A37" s="1">
        <v>12</v>
      </c>
      <c r="B37" s="2">
        <v>1</v>
      </c>
      <c r="C37" s="1">
        <v>1</v>
      </c>
      <c r="D37" s="6" t="s">
        <v>0</v>
      </c>
      <c r="E37" t="s">
        <v>111</v>
      </c>
    </row>
    <row r="38" spans="1:7" x14ac:dyDescent="0.25">
      <c r="A38" s="1">
        <v>13</v>
      </c>
      <c r="B38" s="50">
        <v>1</v>
      </c>
      <c r="C38" s="1">
        <v>1</v>
      </c>
      <c r="D38" s="6" t="s">
        <v>0</v>
      </c>
      <c r="E38" t="s">
        <v>112</v>
      </c>
    </row>
    <row r="39" spans="1:7" x14ac:dyDescent="0.25">
      <c r="A39" s="1">
        <v>14</v>
      </c>
      <c r="B39" s="2">
        <v>0</v>
      </c>
      <c r="C39" s="1">
        <v>0</v>
      </c>
      <c r="D39" s="6" t="s">
        <v>0</v>
      </c>
      <c r="E39" t="s">
        <v>113</v>
      </c>
    </row>
    <row r="40" spans="1:7" x14ac:dyDescent="0.25">
      <c r="A40" s="12">
        <v>-99</v>
      </c>
      <c r="B40" s="13">
        <v>0</v>
      </c>
      <c r="C40" s="12">
        <v>0</v>
      </c>
      <c r="D40" s="9" t="s">
        <v>0</v>
      </c>
      <c r="E40" s="7" t="s">
        <v>12</v>
      </c>
      <c r="F40" s="7"/>
      <c r="G40" s="7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06B07-366E-4485-B680-D1DC948E0311}">
  <dimension ref="A1:V69"/>
  <sheetViews>
    <sheetView workbookViewId="0">
      <selection activeCell="D4" sqref="D4"/>
    </sheetView>
  </sheetViews>
  <sheetFormatPr defaultRowHeight="15" x14ac:dyDescent="0.25"/>
  <cols>
    <col min="1" max="1" width="4.140625" customWidth="1"/>
    <col min="3" max="3" width="11.28515625" customWidth="1"/>
    <col min="4" max="4" width="10.140625" customWidth="1"/>
    <col min="5" max="6" width="10.28515625" customWidth="1"/>
    <col min="7" max="7" width="8.85546875" style="54"/>
    <col min="13" max="13" width="8.85546875" style="54"/>
    <col min="20" max="21" width="8.85546875" style="54"/>
  </cols>
  <sheetData>
    <row r="1" spans="1:22" x14ac:dyDescent="0.25">
      <c r="A1" t="s">
        <v>0</v>
      </c>
      <c r="B1" t="s">
        <v>1</v>
      </c>
    </row>
    <row r="2" spans="1:22" x14ac:dyDescent="0.25">
      <c r="A2" t="s">
        <v>0</v>
      </c>
      <c r="B2" t="s">
        <v>554</v>
      </c>
    </row>
    <row r="3" spans="1:22" x14ac:dyDescent="0.25">
      <c r="A3" t="s">
        <v>0</v>
      </c>
      <c r="B3" t="s">
        <v>3</v>
      </c>
      <c r="D3" t="s">
        <v>639</v>
      </c>
    </row>
    <row r="4" spans="1:22" x14ac:dyDescent="0.25">
      <c r="A4" t="s">
        <v>0</v>
      </c>
    </row>
    <row r="5" spans="1:22" x14ac:dyDescent="0.25">
      <c r="A5" t="s">
        <v>0</v>
      </c>
      <c r="B5" t="s">
        <v>24</v>
      </c>
      <c r="D5" t="s">
        <v>556</v>
      </c>
    </row>
    <row r="6" spans="1:22" x14ac:dyDescent="0.25">
      <c r="A6" t="s">
        <v>0</v>
      </c>
      <c r="D6" t="s">
        <v>555</v>
      </c>
    </row>
    <row r="7" spans="1:22" x14ac:dyDescent="0.25">
      <c r="A7" t="s">
        <v>0</v>
      </c>
    </row>
    <row r="8" spans="1:22" x14ac:dyDescent="0.25">
      <c r="A8" t="s">
        <v>0</v>
      </c>
      <c r="B8" t="s">
        <v>4</v>
      </c>
      <c r="D8" t="s">
        <v>557</v>
      </c>
    </row>
    <row r="9" spans="1:22" x14ac:dyDescent="0.25">
      <c r="A9" t="s">
        <v>0</v>
      </c>
      <c r="D9" t="s">
        <v>594</v>
      </c>
    </row>
    <row r="10" spans="1:22" x14ac:dyDescent="0.25">
      <c r="A10" t="s">
        <v>0</v>
      </c>
      <c r="D10" t="s">
        <v>635</v>
      </c>
    </row>
    <row r="11" spans="1:22" x14ac:dyDescent="0.25">
      <c r="A11" t="s">
        <v>0</v>
      </c>
    </row>
    <row r="12" spans="1:22" x14ac:dyDescent="0.25">
      <c r="A12" t="s">
        <v>0</v>
      </c>
    </row>
    <row r="13" spans="1:22" x14ac:dyDescent="0.25">
      <c r="B13" s="145" t="s">
        <v>558</v>
      </c>
      <c r="C13" s="145"/>
      <c r="D13" s="146"/>
      <c r="E13" s="146"/>
      <c r="F13" s="146"/>
      <c r="G13" s="160"/>
    </row>
    <row r="14" spans="1:22" x14ac:dyDescent="0.25">
      <c r="C14" s="150" t="s">
        <v>433</v>
      </c>
      <c r="D14" s="150" t="s">
        <v>561</v>
      </c>
      <c r="E14" s="150" t="s">
        <v>559</v>
      </c>
      <c r="F14" s="150" t="s">
        <v>576</v>
      </c>
      <c r="G14" s="70" t="s">
        <v>564</v>
      </c>
      <c r="H14" s="1" t="s">
        <v>564</v>
      </c>
      <c r="I14" s="1" t="s">
        <v>564</v>
      </c>
      <c r="J14" s="1" t="s">
        <v>564</v>
      </c>
      <c r="K14" s="1" t="s">
        <v>564</v>
      </c>
      <c r="L14" s="1" t="s">
        <v>564</v>
      </c>
      <c r="M14" s="48" t="s">
        <v>564</v>
      </c>
      <c r="N14" s="1" t="s">
        <v>564</v>
      </c>
      <c r="O14" s="1" t="s">
        <v>564</v>
      </c>
      <c r="P14" s="1" t="s">
        <v>564</v>
      </c>
      <c r="Q14" s="1" t="s">
        <v>564</v>
      </c>
      <c r="R14" s="1" t="s">
        <v>564</v>
      </c>
      <c r="S14" s="1" t="s">
        <v>564</v>
      </c>
      <c r="T14" s="48" t="s">
        <v>564</v>
      </c>
      <c r="U14" s="48" t="s">
        <v>564</v>
      </c>
      <c r="V14" s="1" t="s">
        <v>564</v>
      </c>
    </row>
    <row r="15" spans="1:22" x14ac:dyDescent="0.25">
      <c r="C15" s="36" t="s">
        <v>563</v>
      </c>
      <c r="D15" s="147"/>
      <c r="E15" s="147"/>
      <c r="F15" s="147"/>
      <c r="G15" s="161" t="s">
        <v>595</v>
      </c>
      <c r="H15" s="147" t="s">
        <v>565</v>
      </c>
      <c r="I15" s="147" t="s">
        <v>566</v>
      </c>
      <c r="J15" s="147" t="s">
        <v>567</v>
      </c>
      <c r="K15" s="147" t="s">
        <v>568</v>
      </c>
      <c r="L15" s="147" t="s">
        <v>569</v>
      </c>
      <c r="M15" s="163" t="s">
        <v>598</v>
      </c>
      <c r="N15" s="147" t="s">
        <v>570</v>
      </c>
      <c r="O15" s="147" t="s">
        <v>571</v>
      </c>
      <c r="P15" s="147" t="s">
        <v>572</v>
      </c>
      <c r="Q15" s="147" t="s">
        <v>573</v>
      </c>
      <c r="R15" s="147" t="s">
        <v>574</v>
      </c>
      <c r="S15" s="147" t="s">
        <v>575</v>
      </c>
      <c r="T15" s="163" t="s">
        <v>596</v>
      </c>
      <c r="U15" s="163" t="s">
        <v>597</v>
      </c>
      <c r="V15" s="159" t="s">
        <v>353</v>
      </c>
    </row>
    <row r="16" spans="1:22" x14ac:dyDescent="0.25">
      <c r="C16" s="150" t="s">
        <v>638</v>
      </c>
      <c r="D16" s="150" t="s">
        <v>562</v>
      </c>
      <c r="E16" s="150" t="s">
        <v>560</v>
      </c>
      <c r="F16" s="48">
        <v>30</v>
      </c>
      <c r="G16" s="70">
        <v>18</v>
      </c>
      <c r="H16" s="1">
        <v>13</v>
      </c>
      <c r="I16" s="1">
        <v>13</v>
      </c>
      <c r="J16" s="1">
        <v>13</v>
      </c>
      <c r="K16" s="1">
        <v>13</v>
      </c>
      <c r="L16" s="1">
        <v>8</v>
      </c>
      <c r="M16" s="48">
        <f>N16</f>
        <v>8</v>
      </c>
      <c r="N16" s="1">
        <v>8</v>
      </c>
      <c r="O16" s="1">
        <v>8</v>
      </c>
      <c r="P16" s="1">
        <v>8</v>
      </c>
      <c r="Q16" s="1">
        <v>8</v>
      </c>
      <c r="R16" s="1">
        <v>8</v>
      </c>
      <c r="S16" s="1">
        <v>8</v>
      </c>
      <c r="T16" s="48">
        <f>S16</f>
        <v>8</v>
      </c>
      <c r="U16" s="48">
        <f>T16</f>
        <v>8</v>
      </c>
      <c r="V16" s="48">
        <f>U16</f>
        <v>8</v>
      </c>
    </row>
    <row r="17" spans="3:22" x14ac:dyDescent="0.25">
      <c r="C17" s="6" t="str">
        <f>C16</f>
        <v>&gt;= 2019</v>
      </c>
      <c r="D17" s="6" t="str">
        <f>D16</f>
        <v>R-8</v>
      </c>
      <c r="E17" s="6" t="str">
        <f>E16</f>
        <v>Fiberglass</v>
      </c>
      <c r="F17" s="48">
        <v>38</v>
      </c>
      <c r="G17" s="70">
        <v>26</v>
      </c>
      <c r="H17" s="1">
        <v>18</v>
      </c>
      <c r="I17" s="1">
        <v>18</v>
      </c>
      <c r="J17" s="1">
        <v>18</v>
      </c>
      <c r="K17" s="1">
        <v>13</v>
      </c>
      <c r="L17" s="1">
        <v>13</v>
      </c>
      <c r="M17" s="48">
        <f t="shared" ref="M17:M51" si="0">N17</f>
        <v>13</v>
      </c>
      <c r="N17" s="1">
        <v>13</v>
      </c>
      <c r="O17" s="1">
        <v>8</v>
      </c>
      <c r="P17" s="1">
        <v>8</v>
      </c>
      <c r="Q17" s="1">
        <v>8</v>
      </c>
      <c r="R17" s="1">
        <v>8</v>
      </c>
      <c r="S17" s="1">
        <v>8</v>
      </c>
      <c r="T17" s="48">
        <f t="shared" ref="T17:V17" si="1">S17</f>
        <v>8</v>
      </c>
      <c r="U17" s="48">
        <f t="shared" si="1"/>
        <v>8</v>
      </c>
      <c r="V17" s="48">
        <f t="shared" si="1"/>
        <v>8</v>
      </c>
    </row>
    <row r="18" spans="3:22" x14ac:dyDescent="0.25">
      <c r="C18" s="6" t="str">
        <f t="shared" ref="C18:C21" si="2">C17</f>
        <v>&gt;= 2019</v>
      </c>
      <c r="D18" s="6" t="str">
        <f t="shared" ref="D18:D21" si="3">D17</f>
        <v>R-8</v>
      </c>
      <c r="E18" s="6" t="str">
        <f t="shared" ref="E18:E21" si="4">E17</f>
        <v>Fiberglass</v>
      </c>
      <c r="F18" s="48">
        <v>40</v>
      </c>
      <c r="G18" s="70">
        <f t="shared" ref="G18:G51" si="5">H18</f>
        <v>26</v>
      </c>
      <c r="H18" s="1">
        <v>26</v>
      </c>
      <c r="I18" s="1">
        <v>18</v>
      </c>
      <c r="J18" s="1">
        <v>18</v>
      </c>
      <c r="K18" s="1">
        <v>18</v>
      </c>
      <c r="L18" s="1">
        <v>13</v>
      </c>
      <c r="M18" s="48">
        <f t="shared" si="0"/>
        <v>13</v>
      </c>
      <c r="N18" s="1">
        <v>13</v>
      </c>
      <c r="O18" s="1">
        <v>8</v>
      </c>
      <c r="P18" s="1">
        <v>8</v>
      </c>
      <c r="Q18" s="1">
        <v>8</v>
      </c>
      <c r="R18" s="1">
        <v>8</v>
      </c>
      <c r="S18" s="1">
        <v>8</v>
      </c>
      <c r="T18" s="48">
        <f t="shared" ref="T18:V18" si="6">S18</f>
        <v>8</v>
      </c>
      <c r="U18" s="48">
        <f t="shared" si="6"/>
        <v>8</v>
      </c>
      <c r="V18" s="48">
        <f t="shared" si="6"/>
        <v>8</v>
      </c>
    </row>
    <row r="19" spans="3:22" x14ac:dyDescent="0.25">
      <c r="C19" s="6" t="str">
        <f t="shared" si="2"/>
        <v>&gt;= 2019</v>
      </c>
      <c r="D19" s="6" t="str">
        <f t="shared" si="3"/>
        <v>R-8</v>
      </c>
      <c r="E19" s="6" t="str">
        <f t="shared" si="4"/>
        <v>Fiberglass</v>
      </c>
      <c r="F19" s="48">
        <v>43</v>
      </c>
      <c r="G19" s="70">
        <f t="shared" si="5"/>
        <v>26</v>
      </c>
      <c r="H19" s="1">
        <v>26</v>
      </c>
      <c r="I19" s="1">
        <v>26</v>
      </c>
      <c r="J19" s="1">
        <v>18</v>
      </c>
      <c r="K19" s="1">
        <v>18</v>
      </c>
      <c r="L19" s="1">
        <v>18</v>
      </c>
      <c r="M19" s="48">
        <f t="shared" si="0"/>
        <v>13</v>
      </c>
      <c r="N19" s="1">
        <v>13</v>
      </c>
      <c r="O19" s="1">
        <v>13</v>
      </c>
      <c r="P19" s="1">
        <v>8</v>
      </c>
      <c r="Q19" s="1">
        <v>8</v>
      </c>
      <c r="R19" s="1">
        <v>8</v>
      </c>
      <c r="S19" s="1">
        <v>8</v>
      </c>
      <c r="T19" s="48">
        <f t="shared" ref="T19:V19" si="7">S19</f>
        <v>8</v>
      </c>
      <c r="U19" s="48">
        <f t="shared" si="7"/>
        <v>8</v>
      </c>
      <c r="V19" s="48">
        <f t="shared" si="7"/>
        <v>8</v>
      </c>
    </row>
    <row r="20" spans="3:22" x14ac:dyDescent="0.25">
      <c r="C20" s="6" t="str">
        <f t="shared" si="2"/>
        <v>&gt;= 2019</v>
      </c>
      <c r="D20" s="6" t="str">
        <f t="shared" si="3"/>
        <v>R-8</v>
      </c>
      <c r="E20" s="6" t="str">
        <f t="shared" si="4"/>
        <v>Fiberglass</v>
      </c>
      <c r="F20" s="48">
        <v>49</v>
      </c>
      <c r="G20" s="70">
        <f t="shared" si="5"/>
        <v>26</v>
      </c>
      <c r="H20" s="1">
        <v>26</v>
      </c>
      <c r="I20" s="1">
        <v>26</v>
      </c>
      <c r="J20" s="1">
        <v>26</v>
      </c>
      <c r="K20" s="1">
        <v>26</v>
      </c>
      <c r="L20" s="1">
        <v>18</v>
      </c>
      <c r="M20" s="48">
        <f t="shared" si="0"/>
        <v>18</v>
      </c>
      <c r="N20" s="1">
        <v>18</v>
      </c>
      <c r="O20" s="1">
        <v>13</v>
      </c>
      <c r="P20" s="1">
        <v>13</v>
      </c>
      <c r="Q20" s="1">
        <v>8</v>
      </c>
      <c r="R20" s="1">
        <v>8</v>
      </c>
      <c r="S20" s="1">
        <v>8</v>
      </c>
      <c r="T20" s="48">
        <f t="shared" ref="T20:V20" si="8">S20</f>
        <v>8</v>
      </c>
      <c r="U20" s="48">
        <f t="shared" si="8"/>
        <v>8</v>
      </c>
      <c r="V20" s="48">
        <f t="shared" si="8"/>
        <v>8</v>
      </c>
    </row>
    <row r="21" spans="3:22" x14ac:dyDescent="0.25">
      <c r="C21" s="6" t="str">
        <f t="shared" si="2"/>
        <v>&gt;= 2019</v>
      </c>
      <c r="D21" s="6" t="str">
        <f t="shared" si="3"/>
        <v>R-8</v>
      </c>
      <c r="E21" s="6" t="str">
        <f t="shared" si="4"/>
        <v>Fiberglass</v>
      </c>
      <c r="F21" s="48">
        <v>60</v>
      </c>
      <c r="G21" s="70">
        <f t="shared" si="5"/>
        <v>26</v>
      </c>
      <c r="H21" s="1">
        <v>26</v>
      </c>
      <c r="I21" s="1">
        <v>26</v>
      </c>
      <c r="J21" s="1">
        <v>26</v>
      </c>
      <c r="K21" s="1">
        <v>26</v>
      </c>
      <c r="L21" s="1">
        <v>26</v>
      </c>
      <c r="M21" s="48">
        <f t="shared" si="0"/>
        <v>26</v>
      </c>
      <c r="N21" s="1">
        <v>26</v>
      </c>
      <c r="O21" s="1">
        <v>26</v>
      </c>
      <c r="P21" s="1">
        <v>18</v>
      </c>
      <c r="Q21" s="1">
        <v>13</v>
      </c>
      <c r="R21" s="1">
        <v>13</v>
      </c>
      <c r="S21" s="1">
        <v>8</v>
      </c>
      <c r="T21" s="48">
        <f t="shared" ref="T21:V21" si="9">S21</f>
        <v>8</v>
      </c>
      <c r="U21" s="48">
        <f t="shared" si="9"/>
        <v>8</v>
      </c>
      <c r="V21" s="48">
        <f t="shared" si="9"/>
        <v>8</v>
      </c>
    </row>
    <row r="22" spans="3:22" x14ac:dyDescent="0.25">
      <c r="C22" s="6" t="str">
        <f t="shared" ref="C22:C28" si="10">C21</f>
        <v>&gt;= 2019</v>
      </c>
      <c r="D22" s="6" t="str">
        <f t="shared" ref="D22:D27" si="11">D21</f>
        <v>R-8</v>
      </c>
      <c r="E22" s="151" t="s">
        <v>577</v>
      </c>
      <c r="F22" s="152">
        <v>30</v>
      </c>
      <c r="G22" s="162">
        <f t="shared" si="5"/>
        <v>14</v>
      </c>
      <c r="H22" s="153">
        <v>14</v>
      </c>
      <c r="I22" s="153">
        <v>8</v>
      </c>
      <c r="J22" s="153">
        <v>8</v>
      </c>
      <c r="K22" s="153">
        <v>8</v>
      </c>
      <c r="L22" s="153">
        <v>8</v>
      </c>
      <c r="M22" s="152">
        <f t="shared" si="0"/>
        <v>8</v>
      </c>
      <c r="N22" s="153">
        <v>8</v>
      </c>
      <c r="O22" s="153">
        <v>8</v>
      </c>
      <c r="P22" s="153">
        <v>8</v>
      </c>
      <c r="Q22" s="153">
        <v>8</v>
      </c>
      <c r="R22" s="153">
        <v>8</v>
      </c>
      <c r="S22" s="153">
        <v>8</v>
      </c>
      <c r="T22" s="152">
        <f t="shared" ref="T22:V22" si="12">S22</f>
        <v>8</v>
      </c>
      <c r="U22" s="152">
        <f t="shared" si="12"/>
        <v>8</v>
      </c>
      <c r="V22" s="152">
        <f t="shared" si="12"/>
        <v>8</v>
      </c>
    </row>
    <row r="23" spans="3:22" x14ac:dyDescent="0.25">
      <c r="C23" s="6" t="str">
        <f t="shared" si="10"/>
        <v>&gt;= 2019</v>
      </c>
      <c r="D23" s="6" t="str">
        <f t="shared" si="11"/>
        <v>R-8</v>
      </c>
      <c r="E23" s="6" t="str">
        <f>E22</f>
        <v>Cellulose</v>
      </c>
      <c r="F23" s="48">
        <v>38</v>
      </c>
      <c r="G23" s="70">
        <v>20</v>
      </c>
      <c r="H23" s="1">
        <v>14</v>
      </c>
      <c r="I23" s="1">
        <v>14</v>
      </c>
      <c r="J23" s="1">
        <v>14</v>
      </c>
      <c r="K23" s="1">
        <v>14</v>
      </c>
      <c r="L23" s="1">
        <v>8</v>
      </c>
      <c r="M23" s="48">
        <f t="shared" si="0"/>
        <v>8</v>
      </c>
      <c r="N23" s="1">
        <v>8</v>
      </c>
      <c r="O23" s="1">
        <v>8</v>
      </c>
      <c r="P23" s="1">
        <v>8</v>
      </c>
      <c r="Q23" s="1">
        <v>8</v>
      </c>
      <c r="R23" s="1">
        <v>8</v>
      </c>
      <c r="S23" s="1">
        <v>8</v>
      </c>
      <c r="T23" s="48">
        <f t="shared" ref="T23:V23" si="13">S23</f>
        <v>8</v>
      </c>
      <c r="U23" s="48">
        <f t="shared" si="13"/>
        <v>8</v>
      </c>
      <c r="V23" s="48">
        <f t="shared" si="13"/>
        <v>8</v>
      </c>
    </row>
    <row r="24" spans="3:22" x14ac:dyDescent="0.25">
      <c r="C24" s="6" t="str">
        <f t="shared" si="10"/>
        <v>&gt;= 2019</v>
      </c>
      <c r="D24" s="6" t="str">
        <f t="shared" si="11"/>
        <v>R-8</v>
      </c>
      <c r="E24" s="6" t="str">
        <f t="shared" ref="E24:E27" si="14">E23</f>
        <v>Cellulose</v>
      </c>
      <c r="F24" s="48">
        <v>40</v>
      </c>
      <c r="G24" s="70">
        <f t="shared" si="5"/>
        <v>20</v>
      </c>
      <c r="H24" s="1">
        <v>20</v>
      </c>
      <c r="I24" s="1">
        <v>14</v>
      </c>
      <c r="J24" s="1">
        <v>14</v>
      </c>
      <c r="K24" s="1">
        <v>14</v>
      </c>
      <c r="L24" s="1">
        <v>8</v>
      </c>
      <c r="M24" s="48">
        <f t="shared" si="0"/>
        <v>8</v>
      </c>
      <c r="N24" s="1">
        <v>8</v>
      </c>
      <c r="O24" s="1">
        <v>8</v>
      </c>
      <c r="P24" s="1">
        <v>8</v>
      </c>
      <c r="Q24" s="1">
        <v>8</v>
      </c>
      <c r="R24" s="1">
        <v>8</v>
      </c>
      <c r="S24" s="1">
        <v>8</v>
      </c>
      <c r="T24" s="48">
        <f t="shared" ref="T24:V24" si="15">S24</f>
        <v>8</v>
      </c>
      <c r="U24" s="48">
        <f t="shared" si="15"/>
        <v>8</v>
      </c>
      <c r="V24" s="48">
        <f t="shared" si="15"/>
        <v>8</v>
      </c>
    </row>
    <row r="25" spans="3:22" x14ac:dyDescent="0.25">
      <c r="C25" s="6" t="str">
        <f t="shared" si="10"/>
        <v>&gt;= 2019</v>
      </c>
      <c r="D25" s="6" t="str">
        <f t="shared" si="11"/>
        <v>R-8</v>
      </c>
      <c r="E25" s="6" t="str">
        <f t="shared" si="14"/>
        <v>Cellulose</v>
      </c>
      <c r="F25" s="48">
        <v>43</v>
      </c>
      <c r="G25" s="70">
        <f t="shared" si="5"/>
        <v>20</v>
      </c>
      <c r="H25" s="1">
        <v>20</v>
      </c>
      <c r="I25" s="1">
        <v>20</v>
      </c>
      <c r="J25" s="1">
        <v>14</v>
      </c>
      <c r="K25" s="1">
        <v>14</v>
      </c>
      <c r="L25" s="1">
        <v>14</v>
      </c>
      <c r="M25" s="48">
        <f t="shared" si="0"/>
        <v>8</v>
      </c>
      <c r="N25" s="1">
        <v>8</v>
      </c>
      <c r="O25" s="1">
        <v>8</v>
      </c>
      <c r="P25" s="1">
        <v>8</v>
      </c>
      <c r="Q25" s="1">
        <v>8</v>
      </c>
      <c r="R25" s="1">
        <v>8</v>
      </c>
      <c r="S25" s="1">
        <v>8</v>
      </c>
      <c r="T25" s="48">
        <f t="shared" ref="T25:V25" si="16">S25</f>
        <v>8</v>
      </c>
      <c r="U25" s="48">
        <f t="shared" si="16"/>
        <v>8</v>
      </c>
      <c r="V25" s="48">
        <f t="shared" si="16"/>
        <v>8</v>
      </c>
    </row>
    <row r="26" spans="3:22" x14ac:dyDescent="0.25">
      <c r="C26" s="6" t="str">
        <f t="shared" si="10"/>
        <v>&gt;= 2019</v>
      </c>
      <c r="D26" s="6" t="str">
        <f t="shared" si="11"/>
        <v>R-8</v>
      </c>
      <c r="E26" s="6" t="str">
        <f t="shared" si="14"/>
        <v>Cellulose</v>
      </c>
      <c r="F26" s="48">
        <v>49</v>
      </c>
      <c r="G26" s="70">
        <v>32</v>
      </c>
      <c r="H26" s="1">
        <v>20</v>
      </c>
      <c r="I26" s="1">
        <v>20</v>
      </c>
      <c r="J26" s="1">
        <v>20</v>
      </c>
      <c r="K26" s="1">
        <v>20</v>
      </c>
      <c r="L26" s="1">
        <v>14</v>
      </c>
      <c r="M26" s="48">
        <f t="shared" si="0"/>
        <v>14</v>
      </c>
      <c r="N26" s="1">
        <v>14</v>
      </c>
      <c r="O26" s="1">
        <v>8</v>
      </c>
      <c r="P26" s="1">
        <v>8</v>
      </c>
      <c r="Q26" s="1">
        <v>8</v>
      </c>
      <c r="R26" s="1">
        <v>8</v>
      </c>
      <c r="S26" s="1">
        <v>8</v>
      </c>
      <c r="T26" s="48">
        <f t="shared" ref="T26:V26" si="17">S26</f>
        <v>8</v>
      </c>
      <c r="U26" s="48">
        <f t="shared" si="17"/>
        <v>8</v>
      </c>
      <c r="V26" s="48">
        <f t="shared" si="17"/>
        <v>8</v>
      </c>
    </row>
    <row r="27" spans="3:22" x14ac:dyDescent="0.25">
      <c r="C27" s="6" t="str">
        <f t="shared" si="10"/>
        <v>&gt;= 2019</v>
      </c>
      <c r="D27" s="6" t="str">
        <f t="shared" si="11"/>
        <v>R-8</v>
      </c>
      <c r="E27" s="6" t="str">
        <f t="shared" si="14"/>
        <v>Cellulose</v>
      </c>
      <c r="F27" s="48">
        <v>60</v>
      </c>
      <c r="G27" s="70">
        <f t="shared" si="5"/>
        <v>32</v>
      </c>
      <c r="H27" s="1">
        <v>32</v>
      </c>
      <c r="I27" s="1">
        <v>32</v>
      </c>
      <c r="J27" s="1">
        <v>32</v>
      </c>
      <c r="K27" s="1">
        <v>20</v>
      </c>
      <c r="L27" s="1">
        <v>20</v>
      </c>
      <c r="M27" s="48">
        <f t="shared" si="0"/>
        <v>20</v>
      </c>
      <c r="N27" s="1">
        <v>20</v>
      </c>
      <c r="O27" s="1">
        <v>14</v>
      </c>
      <c r="P27" s="1">
        <v>8</v>
      </c>
      <c r="Q27" s="1">
        <v>8</v>
      </c>
      <c r="R27" s="1">
        <v>8</v>
      </c>
      <c r="S27" s="1">
        <v>8</v>
      </c>
      <c r="T27" s="48">
        <f t="shared" ref="T27:V27" si="18">S27</f>
        <v>8</v>
      </c>
      <c r="U27" s="48">
        <f t="shared" si="18"/>
        <v>8</v>
      </c>
      <c r="V27" s="48">
        <f t="shared" si="18"/>
        <v>8</v>
      </c>
    </row>
    <row r="28" spans="3:22" x14ac:dyDescent="0.25">
      <c r="C28" s="6" t="str">
        <f t="shared" si="10"/>
        <v>&gt;= 2019</v>
      </c>
      <c r="D28" s="154" t="s">
        <v>578</v>
      </c>
      <c r="E28" s="154" t="s">
        <v>560</v>
      </c>
      <c r="F28" s="155">
        <v>30</v>
      </c>
      <c r="G28" s="101">
        <f t="shared" si="5"/>
        <v>15</v>
      </c>
      <c r="H28" s="156">
        <v>15</v>
      </c>
      <c r="I28" s="156">
        <v>11</v>
      </c>
      <c r="J28" s="156">
        <v>11</v>
      </c>
      <c r="K28" s="156">
        <v>11</v>
      </c>
      <c r="L28" s="156">
        <v>11</v>
      </c>
      <c r="M28" s="155">
        <f t="shared" si="0"/>
        <v>6</v>
      </c>
      <c r="N28" s="156">
        <v>6</v>
      </c>
      <c r="O28" s="156">
        <v>6</v>
      </c>
      <c r="P28" s="156">
        <v>6</v>
      </c>
      <c r="Q28" s="156">
        <v>6</v>
      </c>
      <c r="R28" s="156">
        <v>6</v>
      </c>
      <c r="S28" s="156">
        <v>6</v>
      </c>
      <c r="T28" s="155">
        <f t="shared" ref="T28:V28" si="19">S28</f>
        <v>6</v>
      </c>
      <c r="U28" s="155">
        <f t="shared" si="19"/>
        <v>6</v>
      </c>
      <c r="V28" s="155">
        <f t="shared" si="19"/>
        <v>6</v>
      </c>
    </row>
    <row r="29" spans="3:22" x14ac:dyDescent="0.25">
      <c r="C29" s="6" t="str">
        <f>C28</f>
        <v>&gt;= 2019</v>
      </c>
      <c r="D29" s="6" t="str">
        <f>D28</f>
        <v>R-6</v>
      </c>
      <c r="E29" s="6" t="str">
        <f>E28</f>
        <v>Fiberglass</v>
      </c>
      <c r="F29" s="48">
        <v>38</v>
      </c>
      <c r="G29" s="70">
        <f t="shared" si="5"/>
        <v>24</v>
      </c>
      <c r="H29" s="1">
        <v>24</v>
      </c>
      <c r="I29" s="1">
        <v>15</v>
      </c>
      <c r="J29" s="1">
        <v>15</v>
      </c>
      <c r="K29" s="1">
        <v>15</v>
      </c>
      <c r="L29" s="1">
        <v>15</v>
      </c>
      <c r="M29" s="48">
        <f t="shared" si="0"/>
        <v>11</v>
      </c>
      <c r="N29" s="1">
        <v>11</v>
      </c>
      <c r="O29" s="1">
        <v>6</v>
      </c>
      <c r="P29" s="1">
        <v>6</v>
      </c>
      <c r="Q29" s="1">
        <v>6</v>
      </c>
      <c r="R29" s="1">
        <v>6</v>
      </c>
      <c r="S29" s="1">
        <v>6</v>
      </c>
      <c r="T29" s="48">
        <f t="shared" ref="T29:V29" si="20">S29</f>
        <v>6</v>
      </c>
      <c r="U29" s="48">
        <f t="shared" si="20"/>
        <v>6</v>
      </c>
      <c r="V29" s="48">
        <f t="shared" si="20"/>
        <v>6</v>
      </c>
    </row>
    <row r="30" spans="3:22" x14ac:dyDescent="0.25">
      <c r="C30" s="6" t="str">
        <f t="shared" ref="C30:E40" si="21">C29</f>
        <v>&gt;= 2019</v>
      </c>
      <c r="D30" s="6" t="str">
        <f t="shared" si="21"/>
        <v>R-6</v>
      </c>
      <c r="E30" s="6" t="str">
        <f t="shared" si="21"/>
        <v>Fiberglass</v>
      </c>
      <c r="F30" s="48">
        <v>40</v>
      </c>
      <c r="G30" s="70">
        <f t="shared" si="5"/>
        <v>24</v>
      </c>
      <c r="H30" s="1">
        <v>24</v>
      </c>
      <c r="I30" s="1">
        <v>24</v>
      </c>
      <c r="J30" s="1">
        <v>15</v>
      </c>
      <c r="K30" s="1">
        <v>15</v>
      </c>
      <c r="L30" s="1">
        <v>15</v>
      </c>
      <c r="M30" s="48">
        <f t="shared" si="0"/>
        <v>11</v>
      </c>
      <c r="N30" s="1">
        <v>11</v>
      </c>
      <c r="O30" s="1">
        <v>11</v>
      </c>
      <c r="P30" s="1">
        <v>6</v>
      </c>
      <c r="Q30" s="1">
        <v>6</v>
      </c>
      <c r="R30" s="1">
        <v>6</v>
      </c>
      <c r="S30" s="1">
        <v>6</v>
      </c>
      <c r="T30" s="48">
        <f t="shared" ref="T30:V30" si="22">S30</f>
        <v>6</v>
      </c>
      <c r="U30" s="48">
        <f t="shared" si="22"/>
        <v>6</v>
      </c>
      <c r="V30" s="48">
        <f t="shared" si="22"/>
        <v>6</v>
      </c>
    </row>
    <row r="31" spans="3:22" x14ac:dyDescent="0.25">
      <c r="C31" s="6" t="str">
        <f t="shared" si="21"/>
        <v>&gt;= 2019</v>
      </c>
      <c r="D31" s="6" t="str">
        <f t="shared" si="21"/>
        <v>R-6</v>
      </c>
      <c r="E31" s="6" t="str">
        <f t="shared" si="21"/>
        <v>Fiberglass</v>
      </c>
      <c r="F31" s="48">
        <v>43</v>
      </c>
      <c r="G31" s="70">
        <f t="shared" si="5"/>
        <v>24</v>
      </c>
      <c r="H31" s="1">
        <v>24</v>
      </c>
      <c r="I31" s="1">
        <v>24</v>
      </c>
      <c r="J31" s="1">
        <v>24</v>
      </c>
      <c r="K31" s="1">
        <v>15</v>
      </c>
      <c r="L31" s="1">
        <v>15</v>
      </c>
      <c r="M31" s="48">
        <f t="shared" si="0"/>
        <v>15</v>
      </c>
      <c r="N31" s="1">
        <v>15</v>
      </c>
      <c r="O31" s="1">
        <v>11</v>
      </c>
      <c r="P31" s="1">
        <v>6</v>
      </c>
      <c r="Q31" s="1">
        <v>6</v>
      </c>
      <c r="R31" s="1">
        <v>6</v>
      </c>
      <c r="S31" s="1">
        <v>6</v>
      </c>
      <c r="T31" s="48">
        <f t="shared" ref="T31:V31" si="23">S31</f>
        <v>6</v>
      </c>
      <c r="U31" s="48">
        <f t="shared" si="23"/>
        <v>6</v>
      </c>
      <c r="V31" s="48">
        <f t="shared" si="23"/>
        <v>6</v>
      </c>
    </row>
    <row r="32" spans="3:22" x14ac:dyDescent="0.25">
      <c r="C32" s="6" t="str">
        <f t="shared" si="21"/>
        <v>&gt;= 2019</v>
      </c>
      <c r="D32" s="6" t="str">
        <f t="shared" si="21"/>
        <v>R-6</v>
      </c>
      <c r="E32" s="6" t="str">
        <f t="shared" si="21"/>
        <v>Fiberglass</v>
      </c>
      <c r="F32" s="48">
        <v>49</v>
      </c>
      <c r="G32" s="70">
        <f t="shared" si="5"/>
        <v>24</v>
      </c>
      <c r="H32" s="1">
        <v>24</v>
      </c>
      <c r="I32" s="1">
        <v>24</v>
      </c>
      <c r="J32" s="1">
        <v>24</v>
      </c>
      <c r="K32" s="1">
        <v>24</v>
      </c>
      <c r="L32" s="1">
        <v>24</v>
      </c>
      <c r="M32" s="48">
        <v>24</v>
      </c>
      <c r="N32" s="1">
        <v>15</v>
      </c>
      <c r="O32" s="1">
        <v>15</v>
      </c>
      <c r="P32" s="1">
        <v>11</v>
      </c>
      <c r="Q32" s="1">
        <v>11</v>
      </c>
      <c r="R32" s="1">
        <v>6</v>
      </c>
      <c r="S32" s="1">
        <v>6</v>
      </c>
      <c r="T32" s="48">
        <f t="shared" ref="T32:V32" si="24">S32</f>
        <v>6</v>
      </c>
      <c r="U32" s="48">
        <f t="shared" si="24"/>
        <v>6</v>
      </c>
      <c r="V32" s="48">
        <f t="shared" si="24"/>
        <v>6</v>
      </c>
    </row>
    <row r="33" spans="3:22" x14ac:dyDescent="0.25">
      <c r="C33" s="6" t="str">
        <f t="shared" si="21"/>
        <v>&gt;= 2019</v>
      </c>
      <c r="D33" s="6" t="str">
        <f t="shared" si="21"/>
        <v>R-6</v>
      </c>
      <c r="E33" s="6" t="str">
        <f t="shared" si="21"/>
        <v>Fiberglass</v>
      </c>
      <c r="F33" s="48">
        <v>60</v>
      </c>
      <c r="G33" s="70">
        <f t="shared" si="5"/>
        <v>24</v>
      </c>
      <c r="H33" s="1">
        <v>24</v>
      </c>
      <c r="I33" s="1">
        <v>24</v>
      </c>
      <c r="J33" s="1">
        <v>24</v>
      </c>
      <c r="K33" s="1">
        <v>24</v>
      </c>
      <c r="L33" s="1">
        <v>24</v>
      </c>
      <c r="M33" s="48">
        <f t="shared" si="0"/>
        <v>24</v>
      </c>
      <c r="N33" s="1">
        <v>24</v>
      </c>
      <c r="O33" s="1">
        <v>24</v>
      </c>
      <c r="P33" s="1">
        <v>15</v>
      </c>
      <c r="Q33" s="1">
        <v>15</v>
      </c>
      <c r="R33" s="1">
        <v>11</v>
      </c>
      <c r="S33" s="1">
        <v>11</v>
      </c>
      <c r="T33" s="48">
        <v>6</v>
      </c>
      <c r="U33" s="48">
        <f t="shared" ref="U33" si="25">T33</f>
        <v>6</v>
      </c>
      <c r="V33" s="48">
        <v>6</v>
      </c>
    </row>
    <row r="34" spans="3:22" x14ac:dyDescent="0.25">
      <c r="C34" s="6" t="str">
        <f t="shared" si="21"/>
        <v>&gt;= 2019</v>
      </c>
      <c r="D34" s="6" t="str">
        <f t="shared" si="21"/>
        <v>R-6</v>
      </c>
      <c r="E34" s="151" t="s">
        <v>577</v>
      </c>
      <c r="F34" s="152">
        <v>30</v>
      </c>
      <c r="G34" s="162">
        <f t="shared" si="5"/>
        <v>12</v>
      </c>
      <c r="H34" s="153">
        <v>12</v>
      </c>
      <c r="I34" s="153">
        <v>12</v>
      </c>
      <c r="J34" s="153">
        <v>6</v>
      </c>
      <c r="K34" s="153">
        <v>6</v>
      </c>
      <c r="L34" s="153">
        <v>6</v>
      </c>
      <c r="M34" s="152">
        <f t="shared" si="0"/>
        <v>6</v>
      </c>
      <c r="N34" s="153">
        <v>6</v>
      </c>
      <c r="O34" s="153">
        <v>6</v>
      </c>
      <c r="P34" s="153">
        <v>6</v>
      </c>
      <c r="Q34" s="153">
        <v>6</v>
      </c>
      <c r="R34" s="153">
        <v>6</v>
      </c>
      <c r="S34" s="153">
        <v>6</v>
      </c>
      <c r="T34" s="152">
        <f t="shared" ref="T34:V34" si="26">S34</f>
        <v>6</v>
      </c>
      <c r="U34" s="152">
        <f t="shared" si="26"/>
        <v>6</v>
      </c>
      <c r="V34" s="152">
        <f t="shared" si="26"/>
        <v>6</v>
      </c>
    </row>
    <row r="35" spans="3:22" x14ac:dyDescent="0.25">
      <c r="C35" s="6" t="str">
        <f t="shared" si="21"/>
        <v>&gt;= 2019</v>
      </c>
      <c r="D35" s="6" t="str">
        <f t="shared" si="21"/>
        <v>R-6</v>
      </c>
      <c r="E35" s="6" t="str">
        <f>E34</f>
        <v>Cellulose</v>
      </c>
      <c r="F35" s="48">
        <v>38</v>
      </c>
      <c r="G35" s="70">
        <f t="shared" si="5"/>
        <v>18</v>
      </c>
      <c r="H35" s="1">
        <v>18</v>
      </c>
      <c r="I35" s="1">
        <v>12</v>
      </c>
      <c r="J35" s="1">
        <v>12</v>
      </c>
      <c r="K35" s="1">
        <v>12</v>
      </c>
      <c r="L35" s="1">
        <v>12</v>
      </c>
      <c r="M35" s="48">
        <f t="shared" si="0"/>
        <v>6</v>
      </c>
      <c r="N35" s="1">
        <v>6</v>
      </c>
      <c r="O35" s="1">
        <v>6</v>
      </c>
      <c r="P35" s="1">
        <v>6</v>
      </c>
      <c r="Q35" s="1">
        <v>6</v>
      </c>
      <c r="R35" s="1">
        <v>6</v>
      </c>
      <c r="S35" s="1">
        <v>6</v>
      </c>
      <c r="T35" s="48">
        <f t="shared" ref="T35:V35" si="27">S35</f>
        <v>6</v>
      </c>
      <c r="U35" s="48">
        <f t="shared" si="27"/>
        <v>6</v>
      </c>
      <c r="V35" s="48">
        <f t="shared" si="27"/>
        <v>6</v>
      </c>
    </row>
    <row r="36" spans="3:22" x14ac:dyDescent="0.25">
      <c r="C36" s="6" t="str">
        <f t="shared" si="21"/>
        <v>&gt;= 2019</v>
      </c>
      <c r="D36" s="6" t="str">
        <f t="shared" si="21"/>
        <v>R-6</v>
      </c>
      <c r="E36" s="6" t="str">
        <f t="shared" si="21"/>
        <v>Cellulose</v>
      </c>
      <c r="F36" s="48">
        <v>40</v>
      </c>
      <c r="G36" s="70">
        <f t="shared" si="5"/>
        <v>18</v>
      </c>
      <c r="H36" s="1">
        <v>18</v>
      </c>
      <c r="I36" s="1">
        <v>18</v>
      </c>
      <c r="J36" s="1">
        <v>12</v>
      </c>
      <c r="K36" s="1">
        <v>12</v>
      </c>
      <c r="L36" s="1">
        <v>12</v>
      </c>
      <c r="M36" s="48">
        <f t="shared" si="0"/>
        <v>6</v>
      </c>
      <c r="N36" s="1">
        <v>6</v>
      </c>
      <c r="O36" s="1">
        <v>6</v>
      </c>
      <c r="P36" s="1">
        <v>6</v>
      </c>
      <c r="Q36" s="1">
        <v>6</v>
      </c>
      <c r="R36" s="1">
        <v>6</v>
      </c>
      <c r="S36" s="1">
        <v>6</v>
      </c>
      <c r="T36" s="48">
        <f t="shared" ref="T36:V36" si="28">S36</f>
        <v>6</v>
      </c>
      <c r="U36" s="48">
        <f t="shared" si="28"/>
        <v>6</v>
      </c>
      <c r="V36" s="48">
        <f t="shared" si="28"/>
        <v>6</v>
      </c>
    </row>
    <row r="37" spans="3:22" x14ac:dyDescent="0.25">
      <c r="C37" s="6" t="str">
        <f t="shared" si="21"/>
        <v>&gt;= 2019</v>
      </c>
      <c r="D37" s="6" t="str">
        <f t="shared" si="21"/>
        <v>R-6</v>
      </c>
      <c r="E37" s="6" t="str">
        <f t="shared" si="21"/>
        <v>Cellulose</v>
      </c>
      <c r="F37" s="48">
        <v>43</v>
      </c>
      <c r="G37" s="70">
        <f t="shared" si="5"/>
        <v>18</v>
      </c>
      <c r="H37" s="1">
        <v>18</v>
      </c>
      <c r="I37" s="1">
        <v>18</v>
      </c>
      <c r="J37" s="1">
        <v>18</v>
      </c>
      <c r="K37" s="1">
        <v>12</v>
      </c>
      <c r="L37" s="1">
        <v>12</v>
      </c>
      <c r="M37" s="48">
        <v>12</v>
      </c>
      <c r="N37" s="1">
        <v>6</v>
      </c>
      <c r="O37" s="1">
        <v>6</v>
      </c>
      <c r="P37" s="1">
        <v>6</v>
      </c>
      <c r="Q37" s="1">
        <v>6</v>
      </c>
      <c r="R37" s="1">
        <v>6</v>
      </c>
      <c r="S37" s="1">
        <v>6</v>
      </c>
      <c r="T37" s="48">
        <f t="shared" ref="T37:V37" si="29">S37</f>
        <v>6</v>
      </c>
      <c r="U37" s="48">
        <f t="shared" si="29"/>
        <v>6</v>
      </c>
      <c r="V37" s="48">
        <f t="shared" si="29"/>
        <v>6</v>
      </c>
    </row>
    <row r="38" spans="3:22" x14ac:dyDescent="0.25">
      <c r="C38" s="6" t="str">
        <f t="shared" si="21"/>
        <v>&gt;= 2019</v>
      </c>
      <c r="D38" s="6" t="str">
        <f t="shared" si="21"/>
        <v>R-6</v>
      </c>
      <c r="E38" s="6" t="str">
        <f t="shared" si="21"/>
        <v>Cellulose</v>
      </c>
      <c r="F38" s="48">
        <v>49</v>
      </c>
      <c r="G38" s="70">
        <f t="shared" si="5"/>
        <v>31</v>
      </c>
      <c r="H38" s="1">
        <v>31</v>
      </c>
      <c r="I38" s="1">
        <v>18</v>
      </c>
      <c r="J38" s="1">
        <v>18</v>
      </c>
      <c r="K38" s="1">
        <v>18</v>
      </c>
      <c r="L38" s="1">
        <v>18</v>
      </c>
      <c r="M38" s="48">
        <f t="shared" si="0"/>
        <v>12</v>
      </c>
      <c r="N38" s="1">
        <v>12</v>
      </c>
      <c r="O38" s="1">
        <v>6</v>
      </c>
      <c r="P38" s="1">
        <v>6</v>
      </c>
      <c r="Q38" s="1">
        <v>6</v>
      </c>
      <c r="R38" s="1">
        <v>6</v>
      </c>
      <c r="S38" s="1">
        <v>6</v>
      </c>
      <c r="T38" s="48">
        <f t="shared" ref="T38:V38" si="30">S38</f>
        <v>6</v>
      </c>
      <c r="U38" s="48">
        <f t="shared" si="30"/>
        <v>6</v>
      </c>
      <c r="V38" s="48">
        <f t="shared" si="30"/>
        <v>6</v>
      </c>
    </row>
    <row r="39" spans="3:22" x14ac:dyDescent="0.25">
      <c r="C39" s="6" t="str">
        <f t="shared" si="21"/>
        <v>&gt;= 2019</v>
      </c>
      <c r="D39" s="6" t="str">
        <f t="shared" si="21"/>
        <v>R-6</v>
      </c>
      <c r="E39" s="6" t="str">
        <f t="shared" si="21"/>
        <v>Cellulose</v>
      </c>
      <c r="F39" s="48">
        <v>60</v>
      </c>
      <c r="G39" s="70">
        <f t="shared" si="5"/>
        <v>31</v>
      </c>
      <c r="H39" s="1">
        <v>31</v>
      </c>
      <c r="I39" s="1">
        <v>31</v>
      </c>
      <c r="J39" s="1">
        <v>31</v>
      </c>
      <c r="K39" s="1">
        <v>31</v>
      </c>
      <c r="L39" s="1">
        <v>31</v>
      </c>
      <c r="M39" s="48">
        <f t="shared" si="0"/>
        <v>18</v>
      </c>
      <c r="N39" s="1">
        <v>18</v>
      </c>
      <c r="O39" s="1">
        <v>12</v>
      </c>
      <c r="P39" s="1">
        <v>12</v>
      </c>
      <c r="Q39" s="1">
        <v>6</v>
      </c>
      <c r="R39" s="1">
        <v>6</v>
      </c>
      <c r="S39" s="1">
        <v>6</v>
      </c>
      <c r="T39" s="48">
        <f t="shared" ref="T39:V39" si="31">S39</f>
        <v>6</v>
      </c>
      <c r="U39" s="48">
        <f t="shared" si="31"/>
        <v>6</v>
      </c>
      <c r="V39" s="48">
        <f t="shared" si="31"/>
        <v>6</v>
      </c>
    </row>
    <row r="40" spans="3:22" x14ac:dyDescent="0.25">
      <c r="C40" s="6" t="str">
        <f t="shared" si="21"/>
        <v>&gt;= 2019</v>
      </c>
      <c r="D40" s="154" t="s">
        <v>579</v>
      </c>
      <c r="E40" s="154" t="s">
        <v>560</v>
      </c>
      <c r="F40" s="155">
        <v>30</v>
      </c>
      <c r="G40" s="101">
        <f t="shared" si="5"/>
        <v>13</v>
      </c>
      <c r="H40" s="156">
        <v>13</v>
      </c>
      <c r="I40" s="156">
        <v>13</v>
      </c>
      <c r="J40" s="156">
        <v>13</v>
      </c>
      <c r="K40" s="156">
        <v>9</v>
      </c>
      <c r="L40" s="156">
        <v>9</v>
      </c>
      <c r="M40" s="155">
        <v>9</v>
      </c>
      <c r="N40" s="156">
        <v>4.2</v>
      </c>
      <c r="O40" s="156">
        <v>4.2</v>
      </c>
      <c r="P40" s="156">
        <v>4.2</v>
      </c>
      <c r="Q40" s="156">
        <v>4.2</v>
      </c>
      <c r="R40" s="156">
        <v>4.2</v>
      </c>
      <c r="S40" s="156">
        <v>4.2</v>
      </c>
      <c r="T40" s="155">
        <f t="shared" ref="T40:V40" si="32">S40</f>
        <v>4.2</v>
      </c>
      <c r="U40" s="155">
        <f t="shared" si="32"/>
        <v>4.2</v>
      </c>
      <c r="V40" s="155">
        <f t="shared" si="32"/>
        <v>4.2</v>
      </c>
    </row>
    <row r="41" spans="3:22" x14ac:dyDescent="0.25">
      <c r="C41" s="6" t="str">
        <f>C40</f>
        <v>&gt;= 2019</v>
      </c>
      <c r="D41" s="6" t="str">
        <f>D40</f>
        <v>R-4.2</v>
      </c>
      <c r="E41" s="6" t="str">
        <f>E40</f>
        <v>Fiberglass</v>
      </c>
      <c r="F41" s="48">
        <v>38</v>
      </c>
      <c r="G41" s="70">
        <f t="shared" si="5"/>
        <v>22</v>
      </c>
      <c r="H41" s="1">
        <v>22</v>
      </c>
      <c r="I41" s="1">
        <v>22</v>
      </c>
      <c r="J41" s="1">
        <v>13</v>
      </c>
      <c r="K41" s="1">
        <v>13</v>
      </c>
      <c r="L41" s="1">
        <v>13</v>
      </c>
      <c r="M41" s="48">
        <v>13</v>
      </c>
      <c r="N41" s="1">
        <v>9</v>
      </c>
      <c r="O41" s="1">
        <v>9</v>
      </c>
      <c r="P41" s="1">
        <v>4.2</v>
      </c>
      <c r="Q41" s="1">
        <v>4.2</v>
      </c>
      <c r="R41" s="1">
        <v>4.2</v>
      </c>
      <c r="S41" s="1">
        <v>4.2</v>
      </c>
      <c r="T41" s="48">
        <f t="shared" ref="T41:V41" si="33">S41</f>
        <v>4.2</v>
      </c>
      <c r="U41" s="48">
        <f t="shared" si="33"/>
        <v>4.2</v>
      </c>
      <c r="V41" s="48">
        <f t="shared" si="33"/>
        <v>4.2</v>
      </c>
    </row>
    <row r="42" spans="3:22" x14ac:dyDescent="0.25">
      <c r="C42" s="6" t="str">
        <f t="shared" ref="C42:E42" si="34">C41</f>
        <v>&gt;= 2019</v>
      </c>
      <c r="D42" s="6" t="str">
        <f t="shared" si="34"/>
        <v>R-4.2</v>
      </c>
      <c r="E42" s="6" t="str">
        <f t="shared" si="34"/>
        <v>Fiberglass</v>
      </c>
      <c r="F42" s="48">
        <v>40</v>
      </c>
      <c r="G42" s="70">
        <f t="shared" si="5"/>
        <v>22</v>
      </c>
      <c r="H42" s="1">
        <v>22</v>
      </c>
      <c r="I42" s="1">
        <v>22</v>
      </c>
      <c r="J42" s="1">
        <v>22</v>
      </c>
      <c r="K42" s="1">
        <v>13</v>
      </c>
      <c r="L42" s="1">
        <v>13</v>
      </c>
      <c r="M42" s="48">
        <f t="shared" si="0"/>
        <v>13</v>
      </c>
      <c r="N42" s="1">
        <v>13</v>
      </c>
      <c r="O42" s="1">
        <v>9</v>
      </c>
      <c r="P42" s="1">
        <v>4.2</v>
      </c>
      <c r="Q42" s="1">
        <v>4.2</v>
      </c>
      <c r="R42" s="1">
        <v>4.2</v>
      </c>
      <c r="S42" s="1">
        <v>4.2</v>
      </c>
      <c r="T42" s="48">
        <f t="shared" ref="T42:V42" si="35">S42</f>
        <v>4.2</v>
      </c>
      <c r="U42" s="48">
        <f t="shared" si="35"/>
        <v>4.2</v>
      </c>
      <c r="V42" s="48">
        <f t="shared" si="35"/>
        <v>4.2</v>
      </c>
    </row>
    <row r="43" spans="3:22" x14ac:dyDescent="0.25">
      <c r="C43" s="6" t="str">
        <f t="shared" ref="C43:E43" si="36">C42</f>
        <v>&gt;= 2019</v>
      </c>
      <c r="D43" s="6" t="str">
        <f t="shared" si="36"/>
        <v>R-4.2</v>
      </c>
      <c r="E43" s="6" t="str">
        <f t="shared" si="36"/>
        <v>Fiberglass</v>
      </c>
      <c r="F43" s="48">
        <v>43</v>
      </c>
      <c r="G43" s="70">
        <f t="shared" si="5"/>
        <v>22</v>
      </c>
      <c r="H43" s="1">
        <v>22</v>
      </c>
      <c r="I43" s="1">
        <v>22</v>
      </c>
      <c r="J43" s="1">
        <v>22</v>
      </c>
      <c r="K43" s="1">
        <v>22</v>
      </c>
      <c r="L43" s="1">
        <v>13</v>
      </c>
      <c r="M43" s="48">
        <f t="shared" si="0"/>
        <v>13</v>
      </c>
      <c r="N43" s="1">
        <v>13</v>
      </c>
      <c r="O43" s="1">
        <v>9</v>
      </c>
      <c r="P43" s="1">
        <v>9</v>
      </c>
      <c r="Q43" s="1">
        <v>4.2</v>
      </c>
      <c r="R43" s="1">
        <v>4.2</v>
      </c>
      <c r="S43" s="1">
        <v>4.2</v>
      </c>
      <c r="T43" s="48">
        <f t="shared" ref="T43:V43" si="37">S43</f>
        <v>4.2</v>
      </c>
      <c r="U43" s="48">
        <f t="shared" si="37"/>
        <v>4.2</v>
      </c>
      <c r="V43" s="48">
        <f t="shared" si="37"/>
        <v>4.2</v>
      </c>
    </row>
    <row r="44" spans="3:22" x14ac:dyDescent="0.25">
      <c r="C44" s="6" t="str">
        <f t="shared" ref="C44:E44" si="38">C43</f>
        <v>&gt;= 2019</v>
      </c>
      <c r="D44" s="6" t="str">
        <f t="shared" si="38"/>
        <v>R-4.2</v>
      </c>
      <c r="E44" s="6" t="str">
        <f t="shared" si="38"/>
        <v>Fiberglass</v>
      </c>
      <c r="F44" s="48">
        <v>49</v>
      </c>
      <c r="G44" s="70">
        <f t="shared" si="5"/>
        <v>22</v>
      </c>
      <c r="H44" s="1">
        <v>22</v>
      </c>
      <c r="I44" s="1">
        <v>22</v>
      </c>
      <c r="J44" s="1">
        <v>22</v>
      </c>
      <c r="K44" s="1">
        <v>22</v>
      </c>
      <c r="L44" s="1">
        <v>22</v>
      </c>
      <c r="M44" s="48">
        <f t="shared" si="0"/>
        <v>22</v>
      </c>
      <c r="N44" s="1">
        <v>22</v>
      </c>
      <c r="O44" s="1">
        <v>13</v>
      </c>
      <c r="P44" s="1">
        <v>9</v>
      </c>
      <c r="Q44" s="1">
        <v>9</v>
      </c>
      <c r="R44" s="1">
        <v>4.2</v>
      </c>
      <c r="S44" s="1">
        <v>4.2</v>
      </c>
      <c r="T44" s="48">
        <f t="shared" ref="T44:V44" si="39">S44</f>
        <v>4.2</v>
      </c>
      <c r="U44" s="48">
        <f t="shared" si="39"/>
        <v>4.2</v>
      </c>
      <c r="V44" s="48">
        <f t="shared" si="39"/>
        <v>4.2</v>
      </c>
    </row>
    <row r="45" spans="3:22" x14ac:dyDescent="0.25">
      <c r="C45" s="6" t="str">
        <f t="shared" ref="C45:E45" si="40">C44</f>
        <v>&gt;= 2019</v>
      </c>
      <c r="D45" s="6" t="str">
        <f t="shared" si="40"/>
        <v>R-4.2</v>
      </c>
      <c r="E45" s="6" t="str">
        <f t="shared" si="40"/>
        <v>Fiberglass</v>
      </c>
      <c r="F45" s="48">
        <v>60</v>
      </c>
      <c r="G45" s="70">
        <f t="shared" si="5"/>
        <v>22</v>
      </c>
      <c r="H45" s="1">
        <v>22</v>
      </c>
      <c r="I45" s="1">
        <v>22</v>
      </c>
      <c r="J45" s="1">
        <v>22</v>
      </c>
      <c r="K45" s="1">
        <v>22</v>
      </c>
      <c r="L45" s="1">
        <v>22</v>
      </c>
      <c r="M45" s="48">
        <f t="shared" si="0"/>
        <v>22</v>
      </c>
      <c r="N45" s="1">
        <v>22</v>
      </c>
      <c r="O45" s="1">
        <v>22</v>
      </c>
      <c r="P45" s="1">
        <v>22</v>
      </c>
      <c r="Q45" s="1">
        <v>13</v>
      </c>
      <c r="R45" s="1">
        <v>9</v>
      </c>
      <c r="S45" s="1">
        <v>9</v>
      </c>
      <c r="T45" s="48">
        <v>4.2</v>
      </c>
      <c r="U45" s="48">
        <f t="shared" ref="U45" si="41">T45</f>
        <v>4.2</v>
      </c>
      <c r="V45" s="48">
        <v>4.2</v>
      </c>
    </row>
    <row r="46" spans="3:22" x14ac:dyDescent="0.25">
      <c r="C46" s="6" t="str">
        <f t="shared" ref="C46:D46" si="42">C45</f>
        <v>&gt;= 2019</v>
      </c>
      <c r="D46" s="6" t="str">
        <f t="shared" si="42"/>
        <v>R-4.2</v>
      </c>
      <c r="E46" s="151" t="s">
        <v>577</v>
      </c>
      <c r="F46" s="152">
        <v>30</v>
      </c>
      <c r="G46" s="162">
        <v>15</v>
      </c>
      <c r="H46" s="153">
        <v>9</v>
      </c>
      <c r="I46" s="153">
        <v>9</v>
      </c>
      <c r="J46" s="153">
        <v>9</v>
      </c>
      <c r="K46" s="153">
        <v>4.2</v>
      </c>
      <c r="L46" s="153">
        <v>4.2</v>
      </c>
      <c r="M46" s="152">
        <f t="shared" si="0"/>
        <v>4.2</v>
      </c>
      <c r="N46" s="153">
        <v>4.2</v>
      </c>
      <c r="O46" s="153">
        <v>4.2</v>
      </c>
      <c r="P46" s="153">
        <v>4.2</v>
      </c>
      <c r="Q46" s="153">
        <v>4.2</v>
      </c>
      <c r="R46" s="153">
        <v>4.2</v>
      </c>
      <c r="S46" s="153">
        <v>4.2</v>
      </c>
      <c r="T46" s="152">
        <f t="shared" ref="T46:V46" si="43">S46</f>
        <v>4.2</v>
      </c>
      <c r="U46" s="152">
        <f t="shared" si="43"/>
        <v>4.2</v>
      </c>
      <c r="V46" s="152">
        <f t="shared" si="43"/>
        <v>4.2</v>
      </c>
    </row>
    <row r="47" spans="3:22" x14ac:dyDescent="0.25">
      <c r="C47" s="6" t="str">
        <f t="shared" ref="C47:D47" si="44">C46</f>
        <v>&gt;= 2019</v>
      </c>
      <c r="D47" s="6" t="str">
        <f t="shared" si="44"/>
        <v>R-4.2</v>
      </c>
      <c r="E47" s="6" t="str">
        <f>E46</f>
        <v>Cellulose</v>
      </c>
      <c r="F47" s="48">
        <v>38</v>
      </c>
      <c r="G47" s="70">
        <f t="shared" si="5"/>
        <v>15</v>
      </c>
      <c r="H47" s="1">
        <v>15</v>
      </c>
      <c r="I47" s="1">
        <v>15</v>
      </c>
      <c r="J47" s="1">
        <v>9</v>
      </c>
      <c r="K47" s="1">
        <v>9</v>
      </c>
      <c r="L47" s="1">
        <v>9</v>
      </c>
      <c r="M47" s="48">
        <v>9</v>
      </c>
      <c r="N47" s="1">
        <v>4.2</v>
      </c>
      <c r="O47" s="1">
        <v>4.2</v>
      </c>
      <c r="P47" s="1">
        <v>4.2</v>
      </c>
      <c r="Q47" s="1">
        <v>4.2</v>
      </c>
      <c r="R47" s="1">
        <v>4.2</v>
      </c>
      <c r="S47" s="1">
        <v>4.2</v>
      </c>
      <c r="T47" s="48">
        <f t="shared" ref="T47:V47" si="45">S47</f>
        <v>4.2</v>
      </c>
      <c r="U47" s="48">
        <f t="shared" si="45"/>
        <v>4.2</v>
      </c>
      <c r="V47" s="48">
        <f t="shared" si="45"/>
        <v>4.2</v>
      </c>
    </row>
    <row r="48" spans="3:22" x14ac:dyDescent="0.25">
      <c r="C48" s="6" t="str">
        <f t="shared" ref="C48:E48" si="46">C47</f>
        <v>&gt;= 2019</v>
      </c>
      <c r="D48" s="6" t="str">
        <f t="shared" si="46"/>
        <v>R-4.2</v>
      </c>
      <c r="E48" s="6" t="str">
        <f t="shared" si="46"/>
        <v>Cellulose</v>
      </c>
      <c r="F48" s="48">
        <v>40</v>
      </c>
      <c r="G48" s="70">
        <v>29</v>
      </c>
      <c r="H48" s="1">
        <v>15</v>
      </c>
      <c r="I48" s="1">
        <v>15</v>
      </c>
      <c r="J48" s="1">
        <v>15</v>
      </c>
      <c r="K48" s="1">
        <v>9</v>
      </c>
      <c r="L48" s="1">
        <v>9</v>
      </c>
      <c r="M48" s="48">
        <f t="shared" si="0"/>
        <v>9</v>
      </c>
      <c r="N48" s="1">
        <v>9</v>
      </c>
      <c r="O48" s="1">
        <v>4.2</v>
      </c>
      <c r="P48" s="1">
        <v>4.2</v>
      </c>
      <c r="Q48" s="1">
        <v>4.2</v>
      </c>
      <c r="R48" s="1">
        <v>4.2</v>
      </c>
      <c r="S48" s="1">
        <v>4.2</v>
      </c>
      <c r="T48" s="48">
        <f t="shared" ref="T48:V48" si="47">S48</f>
        <v>4.2</v>
      </c>
      <c r="U48" s="48">
        <f t="shared" si="47"/>
        <v>4.2</v>
      </c>
      <c r="V48" s="48">
        <f t="shared" si="47"/>
        <v>4.2</v>
      </c>
    </row>
    <row r="49" spans="1:22" x14ac:dyDescent="0.25">
      <c r="C49" s="6" t="str">
        <f t="shared" ref="C49:E49" si="48">C48</f>
        <v>&gt;= 2019</v>
      </c>
      <c r="D49" s="6" t="str">
        <f t="shared" si="48"/>
        <v>R-4.2</v>
      </c>
      <c r="E49" s="6" t="str">
        <f t="shared" si="48"/>
        <v>Cellulose</v>
      </c>
      <c r="F49" s="48">
        <v>43</v>
      </c>
      <c r="G49" s="70">
        <v>29</v>
      </c>
      <c r="H49" s="1">
        <v>15</v>
      </c>
      <c r="I49" s="1">
        <v>15</v>
      </c>
      <c r="J49" s="1">
        <v>15</v>
      </c>
      <c r="K49" s="1">
        <v>15</v>
      </c>
      <c r="L49" s="1">
        <v>9</v>
      </c>
      <c r="M49" s="48">
        <f t="shared" si="0"/>
        <v>9</v>
      </c>
      <c r="N49" s="1">
        <v>9</v>
      </c>
      <c r="O49" s="1">
        <v>4.2</v>
      </c>
      <c r="P49" s="1">
        <v>4.2</v>
      </c>
      <c r="Q49" s="1">
        <v>4.2</v>
      </c>
      <c r="R49" s="1">
        <v>4.2</v>
      </c>
      <c r="S49" s="1">
        <v>4.2</v>
      </c>
      <c r="T49" s="48">
        <f t="shared" ref="T49:V49" si="49">S49</f>
        <v>4.2</v>
      </c>
      <c r="U49" s="48">
        <f t="shared" si="49"/>
        <v>4.2</v>
      </c>
      <c r="V49" s="48">
        <f t="shared" si="49"/>
        <v>4.2</v>
      </c>
    </row>
    <row r="50" spans="1:22" x14ac:dyDescent="0.25">
      <c r="C50" s="6" t="str">
        <f t="shared" ref="C50:E50" si="50">C49</f>
        <v>&gt;= 2019</v>
      </c>
      <c r="D50" s="6" t="str">
        <f t="shared" si="50"/>
        <v>R-4.2</v>
      </c>
      <c r="E50" s="6" t="str">
        <f t="shared" si="50"/>
        <v>Cellulose</v>
      </c>
      <c r="F50" s="48">
        <v>49</v>
      </c>
      <c r="G50" s="70">
        <f t="shared" si="5"/>
        <v>29</v>
      </c>
      <c r="H50" s="1">
        <v>29</v>
      </c>
      <c r="I50" s="1">
        <v>29</v>
      </c>
      <c r="J50" s="1">
        <v>15</v>
      </c>
      <c r="K50" s="1">
        <v>15</v>
      </c>
      <c r="L50" s="1">
        <v>15</v>
      </c>
      <c r="M50" s="48">
        <v>15</v>
      </c>
      <c r="N50" s="1">
        <v>9</v>
      </c>
      <c r="O50" s="1">
        <v>9</v>
      </c>
      <c r="P50" s="1">
        <v>4.2</v>
      </c>
      <c r="Q50" s="1">
        <v>4.2</v>
      </c>
      <c r="R50" s="1">
        <v>4.2</v>
      </c>
      <c r="S50" s="1">
        <v>4.2</v>
      </c>
      <c r="T50" s="48">
        <f t="shared" ref="T50:V50" si="51">S50</f>
        <v>4.2</v>
      </c>
      <c r="U50" s="48">
        <f t="shared" si="51"/>
        <v>4.2</v>
      </c>
      <c r="V50" s="48">
        <f t="shared" si="51"/>
        <v>4.2</v>
      </c>
    </row>
    <row r="51" spans="1:22" x14ac:dyDescent="0.25">
      <c r="C51" s="6" t="str">
        <f t="shared" ref="C51:E51" si="52">C50</f>
        <v>&gt;= 2019</v>
      </c>
      <c r="D51" s="6" t="str">
        <f t="shared" si="52"/>
        <v>R-4.2</v>
      </c>
      <c r="E51" s="6" t="str">
        <f t="shared" si="52"/>
        <v>Cellulose</v>
      </c>
      <c r="F51" s="48">
        <v>60</v>
      </c>
      <c r="G51" s="70">
        <f t="shared" si="5"/>
        <v>29</v>
      </c>
      <c r="H51" s="1">
        <v>29</v>
      </c>
      <c r="I51" s="1">
        <v>29</v>
      </c>
      <c r="J51" s="1">
        <v>29</v>
      </c>
      <c r="K51" s="1">
        <v>29</v>
      </c>
      <c r="L51" s="1">
        <v>29</v>
      </c>
      <c r="M51" s="48">
        <f t="shared" si="0"/>
        <v>15</v>
      </c>
      <c r="N51" s="1">
        <v>15</v>
      </c>
      <c r="O51" s="1">
        <v>15</v>
      </c>
      <c r="P51" s="1">
        <v>9</v>
      </c>
      <c r="Q51" s="1">
        <v>9</v>
      </c>
      <c r="R51" s="1">
        <v>4.2</v>
      </c>
      <c r="S51" s="1">
        <v>4.2</v>
      </c>
      <c r="T51" s="48">
        <f t="shared" ref="T51:V51" si="53">S51</f>
        <v>4.2</v>
      </c>
      <c r="U51" s="48">
        <f t="shared" si="53"/>
        <v>4.2</v>
      </c>
      <c r="V51" s="48">
        <f t="shared" si="53"/>
        <v>4.2</v>
      </c>
    </row>
    <row r="52" spans="1:22" x14ac:dyDescent="0.25">
      <c r="B52" t="s">
        <v>50</v>
      </c>
    </row>
    <row r="53" spans="1:22" x14ac:dyDescent="0.25">
      <c r="A53" t="s">
        <v>0</v>
      </c>
    </row>
    <row r="54" spans="1:22" x14ac:dyDescent="0.25">
      <c r="A54" t="s">
        <v>0</v>
      </c>
    </row>
    <row r="55" spans="1:22" x14ac:dyDescent="0.25">
      <c r="B55" s="145" t="s">
        <v>580</v>
      </c>
      <c r="C55" s="145"/>
      <c r="D55" s="146"/>
      <c r="E55" s="146"/>
      <c r="F55" s="146"/>
    </row>
    <row r="56" spans="1:22" x14ac:dyDescent="0.25">
      <c r="C56" s="147" t="s">
        <v>433</v>
      </c>
      <c r="D56" s="147" t="s">
        <v>561</v>
      </c>
      <c r="E56" s="147" t="s">
        <v>564</v>
      </c>
      <c r="F56" s="157" t="s">
        <v>581</v>
      </c>
      <c r="G56" s="48"/>
      <c r="H56" s="1"/>
      <c r="I56" s="1"/>
      <c r="J56" s="1"/>
      <c r="K56" s="1"/>
      <c r="L56" s="1"/>
      <c r="M56" s="48"/>
      <c r="N56" s="1"/>
      <c r="O56" s="1"/>
      <c r="P56" s="1"/>
      <c r="Q56" s="1"/>
      <c r="R56" s="1"/>
      <c r="S56" s="1"/>
      <c r="T56" s="48"/>
      <c r="U56" s="48"/>
      <c r="V56" s="1"/>
    </row>
    <row r="57" spans="1:22" x14ac:dyDescent="0.25">
      <c r="C57" s="150" t="s">
        <v>638</v>
      </c>
      <c r="D57" s="150" t="s">
        <v>562</v>
      </c>
      <c r="E57" s="48" t="s">
        <v>582</v>
      </c>
      <c r="F57" s="16" t="s">
        <v>583</v>
      </c>
      <c r="G57" s="48"/>
      <c r="H57" s="1"/>
      <c r="I57" s="1"/>
      <c r="J57" s="1"/>
      <c r="K57" s="1"/>
      <c r="L57" s="1"/>
      <c r="M57" s="48"/>
      <c r="N57" s="1"/>
      <c r="O57" s="1"/>
      <c r="P57" s="1"/>
      <c r="Q57" s="1"/>
      <c r="R57" s="1"/>
      <c r="S57" s="1"/>
      <c r="T57" s="48"/>
      <c r="U57" s="48"/>
      <c r="V57" s="1"/>
    </row>
    <row r="58" spans="1:22" x14ac:dyDescent="0.25">
      <c r="C58" s="6" t="str">
        <f t="shared" ref="C58:D60" si="54">C57</f>
        <v>&gt;= 2019</v>
      </c>
      <c r="D58" s="6" t="str">
        <f t="shared" si="54"/>
        <v>R-8</v>
      </c>
      <c r="E58" s="48" t="s">
        <v>584</v>
      </c>
      <c r="F58" s="16" t="s">
        <v>585</v>
      </c>
      <c r="G58" s="48"/>
      <c r="H58" s="1"/>
      <c r="I58" s="1"/>
      <c r="J58" s="1"/>
      <c r="K58" s="1"/>
      <c r="L58" s="1"/>
      <c r="M58" s="48"/>
      <c r="N58" s="1"/>
      <c r="O58" s="1"/>
      <c r="P58" s="1"/>
      <c r="Q58" s="1"/>
      <c r="R58" s="1"/>
      <c r="S58" s="1"/>
      <c r="T58" s="48"/>
      <c r="U58" s="48"/>
      <c r="V58" s="1"/>
    </row>
    <row r="59" spans="1:22" x14ac:dyDescent="0.25">
      <c r="C59" s="6" t="str">
        <f t="shared" si="54"/>
        <v>&gt;= 2019</v>
      </c>
      <c r="D59" s="6" t="str">
        <f t="shared" si="54"/>
        <v>R-8</v>
      </c>
      <c r="E59" s="48" t="s">
        <v>587</v>
      </c>
      <c r="F59" s="16" t="s">
        <v>588</v>
      </c>
    </row>
    <row r="60" spans="1:22" x14ac:dyDescent="0.25">
      <c r="C60" s="6" t="str">
        <f t="shared" si="54"/>
        <v>&gt;= 2019</v>
      </c>
      <c r="D60" s="6" t="str">
        <f t="shared" si="54"/>
        <v>R-8</v>
      </c>
      <c r="E60" s="48" t="s">
        <v>353</v>
      </c>
      <c r="F60" s="16" t="s">
        <v>586</v>
      </c>
    </row>
    <row r="61" spans="1:22" x14ac:dyDescent="0.25">
      <c r="C61" s="6" t="str">
        <f t="shared" ref="C61:C68" si="55">C60</f>
        <v>&gt;= 2019</v>
      </c>
      <c r="D61" s="151" t="s">
        <v>578</v>
      </c>
      <c r="E61" s="152" t="s">
        <v>591</v>
      </c>
      <c r="F61" s="158" t="s">
        <v>583</v>
      </c>
    </row>
    <row r="62" spans="1:22" x14ac:dyDescent="0.25">
      <c r="C62" s="6" t="str">
        <f t="shared" si="55"/>
        <v>&gt;= 2019</v>
      </c>
      <c r="D62" s="6" t="str">
        <f>D61</f>
        <v>R-6</v>
      </c>
      <c r="E62" s="48" t="s">
        <v>590</v>
      </c>
      <c r="F62" s="16" t="s">
        <v>585</v>
      </c>
    </row>
    <row r="63" spans="1:22" x14ac:dyDescent="0.25">
      <c r="C63" s="6" t="str">
        <f t="shared" si="55"/>
        <v>&gt;= 2019</v>
      </c>
      <c r="D63" s="6" t="str">
        <f>D62</f>
        <v>R-6</v>
      </c>
      <c r="E63" s="48" t="s">
        <v>589</v>
      </c>
      <c r="F63" s="16" t="s">
        <v>588</v>
      </c>
    </row>
    <row r="64" spans="1:22" x14ac:dyDescent="0.25">
      <c r="C64" s="6" t="str">
        <f t="shared" si="55"/>
        <v>&gt;= 2019</v>
      </c>
      <c r="D64" s="6" t="str">
        <f>D63</f>
        <v>R-6</v>
      </c>
      <c r="E64" s="48" t="s">
        <v>353</v>
      </c>
      <c r="F64" s="16" t="s">
        <v>586</v>
      </c>
    </row>
    <row r="65" spans="2:6" x14ac:dyDescent="0.25">
      <c r="C65" s="6" t="str">
        <f t="shared" si="55"/>
        <v>&gt;= 2019</v>
      </c>
      <c r="D65" s="151" t="s">
        <v>579</v>
      </c>
      <c r="E65" s="152" t="s">
        <v>592</v>
      </c>
      <c r="F65" s="158" t="s">
        <v>583</v>
      </c>
    </row>
    <row r="66" spans="2:6" x14ac:dyDescent="0.25">
      <c r="C66" s="6" t="str">
        <f t="shared" si="55"/>
        <v>&gt;= 2019</v>
      </c>
      <c r="D66" s="6" t="str">
        <f>D65</f>
        <v>R-4.2</v>
      </c>
      <c r="E66" s="48" t="s">
        <v>587</v>
      </c>
      <c r="F66" s="16" t="s">
        <v>585</v>
      </c>
    </row>
    <row r="67" spans="2:6" x14ac:dyDescent="0.25">
      <c r="C67" s="6" t="str">
        <f t="shared" si="55"/>
        <v>&gt;= 2019</v>
      </c>
      <c r="D67" s="6" t="str">
        <f>D66</f>
        <v>R-4.2</v>
      </c>
      <c r="E67" s="48" t="s">
        <v>593</v>
      </c>
      <c r="F67" s="16" t="s">
        <v>588</v>
      </c>
    </row>
    <row r="68" spans="2:6" x14ac:dyDescent="0.25">
      <c r="C68" s="6" t="str">
        <f t="shared" si="55"/>
        <v>&gt;= 2019</v>
      </c>
      <c r="D68" s="6" t="str">
        <f>D67</f>
        <v>R-4.2</v>
      </c>
      <c r="E68" s="48" t="s">
        <v>353</v>
      </c>
      <c r="F68" s="16" t="s">
        <v>586</v>
      </c>
    </row>
    <row r="69" spans="2:6" x14ac:dyDescent="0.25">
      <c r="B69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T24RClimateZoneDesignDay</vt:lpstr>
      <vt:lpstr>T24RClimateZoneDesignDay v3b</vt:lpstr>
      <vt:lpstr>T24RCZWeatherMapping</vt:lpstr>
      <vt:lpstr>T24RClimateZoneInletMainsTemp</vt:lpstr>
      <vt:lpstr>T24RClimateZoneDHWASHPAdj</vt:lpstr>
      <vt:lpstr>DHWTankAreaCoefs</vt:lpstr>
      <vt:lpstr>T24R_DHWTables</vt:lpstr>
      <vt:lpstr>T24RSlabEdgeInsulation</vt:lpstr>
      <vt:lpstr>T24RMaterialLibraryMap</vt:lpstr>
      <vt:lpstr>T24RHeatingEquipment</vt:lpstr>
      <vt:lpstr>T24RCoolingEquipment</vt:lpstr>
      <vt:lpstr>T24R_VCHP3Tables</vt:lpstr>
      <vt:lpstr>Sheet2</vt:lpstr>
      <vt:lpstr>T24RDistributionSystems</vt:lpstr>
      <vt:lpstr>T24RBuriedDucts</vt:lpstr>
    </vt:vector>
  </TitlesOfParts>
  <Company>Wrightsoft Corp.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Criswell</dc:creator>
  <cp:lastModifiedBy>Scott Criswell</cp:lastModifiedBy>
  <dcterms:created xsi:type="dcterms:W3CDTF">2013-01-03T03:21:39Z</dcterms:created>
  <dcterms:modified xsi:type="dcterms:W3CDTF">2026-08-14T00:44:43Z</dcterms:modified>
</cp:coreProperties>
</file>